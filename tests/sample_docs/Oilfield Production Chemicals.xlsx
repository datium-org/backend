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li.faizan\Desktop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_FilterDatabase" localSheetId="0" hidden="1">Sheet1!$B$77:$L$107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10" i="1" l="1"/>
  <c r="E84" i="1"/>
  <c r="L84" i="1" s="1"/>
  <c r="E83" i="1"/>
  <c r="E81" i="1"/>
  <c r="L81" i="1" s="1"/>
  <c r="E80" i="1"/>
  <c r="E79" i="1"/>
  <c r="L79" i="1" s="1"/>
  <c r="E78" i="1"/>
  <c r="L78" i="1" s="1"/>
  <c r="D110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4" i="1"/>
  <c r="J107" i="1"/>
  <c r="G107" i="1"/>
  <c r="I107" i="1" s="1"/>
  <c r="E107" i="1"/>
  <c r="L107" i="1" s="1"/>
  <c r="J106" i="1"/>
  <c r="G106" i="1"/>
  <c r="I106" i="1" s="1"/>
  <c r="E106" i="1"/>
  <c r="L106" i="1" s="1"/>
  <c r="J105" i="1"/>
  <c r="G105" i="1"/>
  <c r="I105" i="1" s="1"/>
  <c r="E105" i="1"/>
  <c r="L105" i="1" s="1"/>
  <c r="J104" i="1"/>
  <c r="G104" i="1"/>
  <c r="I104" i="1" s="1"/>
  <c r="E104" i="1"/>
  <c r="L104" i="1" s="1"/>
  <c r="J103" i="1"/>
  <c r="G103" i="1"/>
  <c r="I103" i="1" s="1"/>
  <c r="E103" i="1"/>
  <c r="L103" i="1" s="1"/>
  <c r="J102" i="1"/>
  <c r="G102" i="1"/>
  <c r="I102" i="1" s="1"/>
  <c r="E102" i="1"/>
  <c r="L102" i="1" s="1"/>
  <c r="J101" i="1"/>
  <c r="G101" i="1"/>
  <c r="I101" i="1" s="1"/>
  <c r="E101" i="1"/>
  <c r="L101" i="1" s="1"/>
  <c r="J100" i="1"/>
  <c r="G100" i="1"/>
  <c r="I100" i="1" s="1"/>
  <c r="E100" i="1"/>
  <c r="L100" i="1" s="1"/>
  <c r="J99" i="1"/>
  <c r="G99" i="1"/>
  <c r="I99" i="1" s="1"/>
  <c r="E99" i="1"/>
  <c r="L99" i="1" s="1"/>
  <c r="J98" i="1"/>
  <c r="G98" i="1"/>
  <c r="I98" i="1" s="1"/>
  <c r="E98" i="1"/>
  <c r="L98" i="1" s="1"/>
  <c r="J97" i="1"/>
  <c r="G97" i="1"/>
  <c r="I97" i="1" s="1"/>
  <c r="E97" i="1"/>
  <c r="L97" i="1" s="1"/>
  <c r="J96" i="1"/>
  <c r="G96" i="1"/>
  <c r="I96" i="1" s="1"/>
  <c r="E96" i="1"/>
  <c r="L96" i="1" s="1"/>
  <c r="J95" i="1"/>
  <c r="G95" i="1"/>
  <c r="I95" i="1" s="1"/>
  <c r="E95" i="1"/>
  <c r="L95" i="1" s="1"/>
  <c r="J94" i="1"/>
  <c r="G94" i="1"/>
  <c r="I94" i="1" s="1"/>
  <c r="E94" i="1"/>
  <c r="L94" i="1" s="1"/>
  <c r="J93" i="1"/>
  <c r="G93" i="1"/>
  <c r="I93" i="1" s="1"/>
  <c r="E93" i="1"/>
  <c r="L93" i="1" s="1"/>
  <c r="J92" i="1"/>
  <c r="G92" i="1"/>
  <c r="I92" i="1" s="1"/>
  <c r="E92" i="1"/>
  <c r="L92" i="1" s="1"/>
  <c r="J91" i="1"/>
  <c r="G91" i="1"/>
  <c r="I91" i="1" s="1"/>
  <c r="E91" i="1"/>
  <c r="L91" i="1" s="1"/>
  <c r="J90" i="1"/>
  <c r="G90" i="1"/>
  <c r="I90" i="1" s="1"/>
  <c r="E90" i="1"/>
  <c r="L90" i="1" s="1"/>
  <c r="J89" i="1"/>
  <c r="G89" i="1"/>
  <c r="I89" i="1" s="1"/>
  <c r="E89" i="1"/>
  <c r="L89" i="1" s="1"/>
  <c r="J88" i="1"/>
  <c r="G88" i="1"/>
  <c r="I88" i="1" s="1"/>
  <c r="E88" i="1"/>
  <c r="L88" i="1" s="1"/>
  <c r="J87" i="1"/>
  <c r="G87" i="1"/>
  <c r="I87" i="1" s="1"/>
  <c r="E87" i="1"/>
  <c r="L87" i="1" s="1"/>
  <c r="J86" i="1"/>
  <c r="G86" i="1"/>
  <c r="I86" i="1" s="1"/>
  <c r="E86" i="1"/>
  <c r="L86" i="1" s="1"/>
  <c r="J85" i="1"/>
  <c r="G85" i="1"/>
  <c r="I85" i="1" s="1"/>
  <c r="E85" i="1"/>
  <c r="L85" i="1" s="1"/>
  <c r="J84" i="1"/>
  <c r="G84" i="1"/>
  <c r="I84" i="1" s="1"/>
  <c r="J83" i="1"/>
  <c r="G83" i="1"/>
  <c r="I83" i="1" s="1"/>
  <c r="L83" i="1"/>
  <c r="J82" i="1"/>
  <c r="G82" i="1"/>
  <c r="I82" i="1" s="1"/>
  <c r="E82" i="1"/>
  <c r="L82" i="1" s="1"/>
  <c r="J81" i="1"/>
  <c r="G81" i="1"/>
  <c r="I81" i="1" s="1"/>
  <c r="L80" i="1"/>
  <c r="J80" i="1"/>
  <c r="G80" i="1"/>
  <c r="I80" i="1" s="1"/>
  <c r="J79" i="1"/>
  <c r="G79" i="1"/>
  <c r="I79" i="1" s="1"/>
  <c r="J78" i="1"/>
  <c r="G78" i="1"/>
  <c r="I78" i="1" s="1"/>
  <c r="J110" i="1" l="1"/>
  <c r="I110" i="1"/>
  <c r="G110" i="1"/>
  <c r="M110" i="1"/>
  <c r="M111" i="1" s="1"/>
  <c r="H71" i="1" l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27" i="1" l="1"/>
  <c r="H72" i="1"/>
</calcChain>
</file>

<file path=xl/sharedStrings.xml><?xml version="1.0" encoding="utf-8"?>
<sst xmlns="http://schemas.openxmlformats.org/spreadsheetml/2006/main" count="204" uniqueCount="125">
  <si>
    <t>Chemical Name</t>
  </si>
  <si>
    <t>Average Prices/Pack</t>
  </si>
  <si>
    <t xml:space="preserve">Last supplier </t>
  </si>
  <si>
    <t>Usage</t>
  </si>
  <si>
    <t>Cement Dispersant (Kg)</t>
  </si>
  <si>
    <t>AlMoghera</t>
  </si>
  <si>
    <t>Cement Fluid Loss Additive (Kg)</t>
  </si>
  <si>
    <t>Cement Liquid Extender (Ltr)</t>
  </si>
  <si>
    <t>OOIS (Esnad)</t>
  </si>
  <si>
    <t>Cement Retarder CR 400 (Kg)</t>
  </si>
  <si>
    <t>Aubin</t>
  </si>
  <si>
    <t>Cement Spacer (Kg)</t>
  </si>
  <si>
    <t>AlMoghera (Esnad)</t>
  </si>
  <si>
    <t>Cement Stabilizer (Kg)</t>
  </si>
  <si>
    <t>Cenosphere (Kg)</t>
  </si>
  <si>
    <t>OOIS</t>
  </si>
  <si>
    <t>Defoamer SMLZ-1T (Ltr)</t>
  </si>
  <si>
    <t>Shanghai</t>
  </si>
  <si>
    <t>ExpoCem- Expanding Cement Additive (Kg)</t>
  </si>
  <si>
    <t>ELKEM</t>
  </si>
  <si>
    <t>Gas Migration Additive Powder (Kg)</t>
  </si>
  <si>
    <t>Basin</t>
  </si>
  <si>
    <t>Laffsolve-MEB Ethylene (Ltr)</t>
  </si>
  <si>
    <t>Micro Defoamer (Gal)</t>
  </si>
  <si>
    <t>Micro Silica Powder (Kg)</t>
  </si>
  <si>
    <t>Silica flour (Kg)</t>
  </si>
  <si>
    <t>Surfactant (Ltr)</t>
  </si>
  <si>
    <t>Cementing Anti Foam (Gal)</t>
  </si>
  <si>
    <t>Mutual Solvent EGMBE MS-500</t>
  </si>
  <si>
    <t>Iron Sequestring Agent (ICA-61)</t>
  </si>
  <si>
    <t>Ammonium Chloride</t>
  </si>
  <si>
    <t>Acetic Acid</t>
  </si>
  <si>
    <t>Surfactant Mud Acid (Gal)</t>
  </si>
  <si>
    <t>Total</t>
  </si>
  <si>
    <t>Cementing Chemicals</t>
  </si>
  <si>
    <t>Stimulation Chemicals</t>
  </si>
  <si>
    <t>current supplier</t>
  </si>
  <si>
    <t>Usage in 2016 per pack</t>
  </si>
  <si>
    <t>ACETIC ACID  (Gal)</t>
  </si>
  <si>
    <t xml:space="preserve">AMMONIUM BIFLUORID (MT)   </t>
  </si>
  <si>
    <t xml:space="preserve">AMMONIUM CHLORIDE (MT) </t>
  </si>
  <si>
    <t>CITRIC ACID ANHYDROUS (Kg)</t>
  </si>
  <si>
    <t>Hi Temp-Acid Corrosion Inhibitor (AI-600 (Gal)</t>
  </si>
  <si>
    <t>Lubrizol</t>
  </si>
  <si>
    <t>MUTUAL SOLVENT EGMBE MS-500 (Gal)</t>
  </si>
  <si>
    <t>Non Ionic , Non-Emulsifier (NE-201) (Gal)</t>
  </si>
  <si>
    <t>Flotek</t>
  </si>
  <si>
    <t>POTASSIUM CHLORIDE (MT)</t>
  </si>
  <si>
    <t>Santreat MZ CS 30T (Clay Stabilizer) (Gal)</t>
  </si>
  <si>
    <t>SANTREAT MZ GSX(GLYOXAL BASED)H2S SCAVENGER (Gal)</t>
  </si>
  <si>
    <t>SODA ASH (Kg)</t>
  </si>
  <si>
    <t>Water Gelling Agent  (LBS)</t>
  </si>
  <si>
    <t>XYLENE (Gal)</t>
  </si>
  <si>
    <t>ACID GELLING AGENT - AGA 500 (Ltr)</t>
  </si>
  <si>
    <t>Acidizing Micellar Solvent (ACID SOL-101 (Gal)</t>
  </si>
  <si>
    <t>Flotek (Esnad)</t>
  </si>
  <si>
    <t>All F90 Corrosion Inhibitor Intensifier (Gal)</t>
  </si>
  <si>
    <t>Acid Inhibitor Intensifier (Gal)</t>
  </si>
  <si>
    <t>HI TEMP ACID CORROSION INHIBITOR XMI-2104 (Gal)</t>
  </si>
  <si>
    <t>Mud Acid Surfactant (Gal)</t>
  </si>
  <si>
    <t>ORGANIC IRON REDUCING AGENT ICA-51 (Gal)</t>
  </si>
  <si>
    <t>IRON REDUCING AGENT (ICA-720)(DC) kg</t>
  </si>
  <si>
    <t>ACID FOAMING AGENT, CAT FOAM (Gal)</t>
  </si>
  <si>
    <t>MULTI PURPOSE FOAMING AGENT</t>
  </si>
  <si>
    <t>AI-600 Acid Corrosion inhibitor (Gal) (discontinued)</t>
  </si>
  <si>
    <t>Weatherford</t>
  </si>
  <si>
    <t>Acid Emulsifier for Dispersing Acid System EM-10 (Discon)</t>
  </si>
  <si>
    <t>Hydrochloric Acid - 32%HCL  (MT)</t>
  </si>
  <si>
    <t>AlGaith</t>
  </si>
  <si>
    <t>Acid Buffering Agent AGA-Buffer-1 WFT-91 (Gal)</t>
  </si>
  <si>
    <t>Liquid Nitrogen North (Gal)</t>
  </si>
  <si>
    <t>Mohsen Hiader</t>
  </si>
  <si>
    <t>Liquid Nitrogen South (Gal)</t>
  </si>
  <si>
    <t>Liquid Nitrogen (Discontinued)</t>
  </si>
  <si>
    <t>AlHosni</t>
  </si>
  <si>
    <t>Calcium Carbonate - 25 Micron</t>
  </si>
  <si>
    <t>Sodium Hypochlorite bleach (Gal)</t>
  </si>
  <si>
    <t>HT Corrosion ACI 3004 9c</t>
  </si>
  <si>
    <t>H2S Scavenger</t>
  </si>
  <si>
    <t>Product</t>
  </si>
  <si>
    <t>Annual Volume (kg)</t>
  </si>
  <si>
    <t>Monthly / tonnes</t>
  </si>
  <si>
    <t>Oil / water base</t>
  </si>
  <si>
    <t>Oil based</t>
  </si>
  <si>
    <t>Diesel %</t>
  </si>
  <si>
    <t>Diesel qty</t>
  </si>
  <si>
    <t>Water based</t>
  </si>
  <si>
    <t>Number of products</t>
  </si>
  <si>
    <t>Monthly tonnes per product</t>
  </si>
  <si>
    <t>Demulsifier</t>
  </si>
  <si>
    <t>Oil</t>
  </si>
  <si>
    <t>Corrosion inhibitors</t>
  </si>
  <si>
    <t>Water</t>
  </si>
  <si>
    <t>Biocides</t>
  </si>
  <si>
    <t>Scale inhibitor</t>
  </si>
  <si>
    <t>H2S scavenger</t>
  </si>
  <si>
    <t>Demulsifier PT6791</t>
  </si>
  <si>
    <t>Biocide MX82275</t>
  </si>
  <si>
    <t>Biocide MX82274</t>
  </si>
  <si>
    <t>Iron sulphide scavenger MX82278</t>
  </si>
  <si>
    <t>Filter aid</t>
  </si>
  <si>
    <t>Calcium Nitrate Solution</t>
  </si>
  <si>
    <t>Oxygen Scavenger 70%</t>
  </si>
  <si>
    <t>Combination CI/Bio/OS</t>
  </si>
  <si>
    <t>Biocide</t>
  </si>
  <si>
    <t>Defoamer, dehydration</t>
  </si>
  <si>
    <t>Defoamer, MVC</t>
  </si>
  <si>
    <t>Deoiler</t>
  </si>
  <si>
    <t>Biocide 1</t>
  </si>
  <si>
    <t>Biocide 2</t>
  </si>
  <si>
    <t>Corrosion inhibitor - oil</t>
  </si>
  <si>
    <t>Corrosion inhibitor - gas</t>
  </si>
  <si>
    <t>Oil based products</t>
  </si>
  <si>
    <t>Typical volume</t>
  </si>
  <si>
    <t>=</t>
  </si>
  <si>
    <t>400 - 500,000 kg p.a. per product.</t>
  </si>
  <si>
    <t>Water based products</t>
  </si>
  <si>
    <t>22 products</t>
  </si>
  <si>
    <t>10 are 200 - 800,000 kg p.a. per product. Rest are &lt;100,000 kg p.a. per product.</t>
  </si>
  <si>
    <t>Potential Products chemicals volumes(old records)</t>
  </si>
  <si>
    <t>Sr#</t>
  </si>
  <si>
    <t>Cost of Usage</t>
  </si>
  <si>
    <t>Total Cost Of Usage</t>
  </si>
  <si>
    <t>Per / Annum</t>
  </si>
  <si>
    <t>08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</si>
</sst>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_-;\-* #,##0.00_-;_-* &quot;-&quot;??_-;_-@_-"/>
    <numFmt numFmtId="164" formatCode="#,##0.000"/>
    <numFmt numFmtId="165" formatCode="_(* #,##0.00_);_(* \(#,##0.00\);_(* &quot;-&quot;??_);_(@_)"/>
    <numFmt numFmtId="166" formatCode="_(* #,##0_);_(* \(#,##0\);_(* &quot;-&quot;??_);_(@_)"/>
    <numFmt numFmtId="167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57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7" fontId="3" fillId="0" borderId="0" xfId="0" applyNumberFormat="1" applyFont="1"/>
    <xf numFmtId="0" fontId="4" fillId="0" borderId="0" xfId="0" applyFont="1"/>
    <xf numFmtId="164" fontId="2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top" wrapText="1"/>
    </xf>
    <xf numFmtId="0" fontId="0" fillId="0" borderId="1" xfId="2" applyFont="1" applyBorder="1" applyAlignment="1">
      <alignment vertical="top" wrapText="1"/>
    </xf>
    <xf numFmtId="4" fontId="0" fillId="0" borderId="1" xfId="0" applyNumberFormat="1" applyFont="1" applyBorder="1" applyAlignment="1">
      <alignment horizontal="center" vertical="top"/>
    </xf>
    <xf numFmtId="0" fontId="0" fillId="0" borderId="1" xfId="0" applyFont="1" applyBorder="1" applyAlignment="1">
      <alignment horizontal="center" vertical="top"/>
    </xf>
    <xf numFmtId="0" fontId="0" fillId="0" borderId="1" xfId="0" applyFont="1" applyBorder="1" applyAlignment="1">
      <alignment vertical="top"/>
    </xf>
    <xf numFmtId="166" fontId="0" fillId="0" borderId="1" xfId="1" applyNumberFormat="1" applyFont="1" applyBorder="1" applyAlignment="1">
      <alignment vertical="top"/>
    </xf>
    <xf numFmtId="4" fontId="0" fillId="0" borderId="1" xfId="2" applyNumberFormat="1" applyFont="1" applyBorder="1" applyAlignment="1">
      <alignment horizontal="center" vertical="top"/>
    </xf>
    <xf numFmtId="4" fontId="0" fillId="0" borderId="1" xfId="0" applyNumberFormat="1" applyFont="1" applyBorder="1" applyAlignment="1">
      <alignment horizontal="center" vertical="top" wrapText="1"/>
    </xf>
    <xf numFmtId="164" fontId="0" fillId="0" borderId="1" xfId="0" applyNumberFormat="1" applyFont="1" applyBorder="1" applyAlignment="1">
      <alignment horizontal="center" vertical="top" wrapText="1"/>
    </xf>
    <xf numFmtId="0" fontId="1" fillId="0" borderId="1" xfId="2" applyFont="1" applyBorder="1" applyAlignment="1">
      <alignment vertical="top" wrapText="1"/>
    </xf>
    <xf numFmtId="4" fontId="1" fillId="0" borderId="1" xfId="2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4" fontId="1" fillId="0" borderId="1" xfId="0" applyNumberFormat="1" applyFont="1" applyBorder="1" applyAlignment="1">
      <alignment horizontal="center" vertical="top" wrapText="1"/>
    </xf>
    <xf numFmtId="164" fontId="1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vertical="top" wrapText="1"/>
    </xf>
    <xf numFmtId="4" fontId="0" fillId="0" borderId="2" xfId="0" applyNumberFormat="1" applyFont="1" applyBorder="1" applyAlignment="1">
      <alignment horizontal="center" vertical="top"/>
    </xf>
    <xf numFmtId="0" fontId="0" fillId="0" borderId="2" xfId="0" applyFont="1" applyBorder="1" applyAlignment="1">
      <alignment horizontal="center" vertical="top"/>
    </xf>
    <xf numFmtId="0" fontId="0" fillId="0" borderId="2" xfId="0" applyFont="1" applyBorder="1" applyAlignment="1">
      <alignment vertical="top"/>
    </xf>
    <xf numFmtId="166" fontId="0" fillId="0" borderId="2" xfId="1" applyNumberFormat="1" applyFont="1" applyBorder="1" applyAlignment="1">
      <alignment vertical="top"/>
    </xf>
    <xf numFmtId="0" fontId="0" fillId="0" borderId="3" xfId="0" applyFont="1" applyBorder="1" applyAlignment="1">
      <alignment vertical="top" wrapText="1"/>
    </xf>
    <xf numFmtId="4" fontId="0" fillId="0" borderId="3" xfId="0" applyNumberFormat="1" applyFont="1" applyBorder="1" applyAlignment="1">
      <alignment horizontal="center" vertical="top"/>
    </xf>
    <xf numFmtId="0" fontId="0" fillId="0" borderId="3" xfId="0" applyFont="1" applyBorder="1" applyAlignment="1">
      <alignment horizontal="center" vertical="top"/>
    </xf>
    <xf numFmtId="0" fontId="0" fillId="0" borderId="3" xfId="0" applyFont="1" applyBorder="1" applyAlignment="1">
      <alignment vertical="top"/>
    </xf>
    <xf numFmtId="166" fontId="0" fillId="0" borderId="3" xfId="1" applyNumberFormat="1" applyFont="1" applyBorder="1" applyAlignment="1">
      <alignment vertical="top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top" wrapText="1"/>
    </xf>
    <xf numFmtId="49" fontId="1" fillId="0" borderId="1" xfId="0" applyNumberFormat="1" applyFont="1" applyBorder="1" applyAlignment="1">
      <alignment vertical="top"/>
    </xf>
    <xf numFmtId="0" fontId="1" fillId="0" borderId="1" xfId="0" applyNumberFormat="1" applyFont="1" applyBorder="1" applyAlignment="1">
      <alignment horizontal="center" vertical="top" wrapText="1"/>
    </xf>
    <xf numFmtId="167" fontId="1" fillId="0" borderId="1" xfId="1" applyNumberFormat="1" applyFont="1" applyBorder="1" applyAlignment="1">
      <alignment vertical="top"/>
    </xf>
    <xf numFmtId="0" fontId="2" fillId="0" borderId="1" xfId="0" applyFont="1" applyBorder="1" applyAlignment="1">
      <alignment horizontal="center" vertical="top" wrapText="1"/>
    </xf>
    <xf numFmtId="167" fontId="0" fillId="0" borderId="1" xfId="1" applyNumberFormat="1" applyFont="1" applyBorder="1" applyAlignment="1">
      <alignment vertical="top"/>
    </xf>
    <xf numFmtId="167" fontId="0" fillId="0" borderId="1" xfId="1" applyNumberFormat="1" applyFont="1" applyFill="1" applyBorder="1" applyAlignment="1">
      <alignment vertical="top"/>
    </xf>
    <xf numFmtId="9" fontId="0" fillId="0" borderId="1" xfId="0" applyNumberFormat="1" applyFont="1" applyBorder="1" applyAlignment="1">
      <alignment vertical="top"/>
    </xf>
    <xf numFmtId="165" fontId="0" fillId="0" borderId="1" xfId="0" applyNumberFormat="1" applyFont="1" applyBorder="1" applyAlignment="1">
      <alignment vertical="top"/>
    </xf>
    <xf numFmtId="0" fontId="5" fillId="2" borderId="0" xfId="0" applyFont="1" applyFill="1"/>
    <xf numFmtId="0" fontId="5" fillId="2" borderId="0" xfId="0" quotePrefix="1" applyFont="1" applyFill="1" applyAlignment="1">
      <alignment horizontal="center"/>
    </xf>
    <xf numFmtId="0" fontId="4" fillId="2" borderId="0" xfId="0" applyFont="1" applyFill="1"/>
    <xf numFmtId="166" fontId="2" fillId="0" borderId="1" xfId="1" applyNumberFormat="1" applyFont="1" applyBorder="1" applyAlignment="1">
      <alignment vertical="top"/>
    </xf>
    <xf numFmtId="167" fontId="2" fillId="0" borderId="1" xfId="1" applyNumberFormat="1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113"/>
  <sheetViews>
    <sheetView tabSelected="1" topLeftCell="A78" zoomScaleNormal="100" workbookViewId="0">
      <selection activeCell="E77" sqref="B77:L107"/>
    </sheetView>
  </sheetViews>
  <sheetFormatPr defaultRowHeight="15" x14ac:dyDescent="0.25"/>
  <cols>
    <col min="2" max="2" width="23.7109375" customWidth="1"/>
    <col min="3" max="3" width="19.5703125" customWidth="1"/>
    <col min="4" max="4" width="23.85546875" customWidth="1"/>
    <col min="5" max="5" width="11.5703125" customWidth="1"/>
    <col min="6" max="6" width="16.85546875" customWidth="1"/>
    <col min="7" max="7" width="12.140625" customWidth="1"/>
    <col min="8" max="8" width="15.85546875" customWidth="1"/>
    <col min="9" max="10" width="12" customWidth="1"/>
    <col min="11" max="11" width="10.140625" customWidth="1"/>
    <col min="12" max="12" width="11.85546875" customWidth="1"/>
  </cols>
  <sheetData>
    <row r="3" spans="2:11" ht="26.25" x14ac:dyDescent="0.4">
      <c r="B3" s="50" t="s">
        <v>34</v>
      </c>
      <c r="C3" s="50"/>
      <c r="D3" s="50"/>
      <c r="E3" s="50"/>
      <c r="F3" s="50"/>
      <c r="G3" s="50"/>
      <c r="H3" s="50"/>
      <c r="I3" s="50"/>
      <c r="J3" s="50"/>
      <c r="K3" s="50"/>
    </row>
    <row r="5" spans="2:11" ht="30" x14ac:dyDescent="0.25">
      <c r="D5" s="33" t="s">
        <v>0</v>
      </c>
      <c r="E5" s="5" t="s">
        <v>1</v>
      </c>
      <c r="F5" s="5" t="s">
        <v>2</v>
      </c>
      <c r="G5" s="34" t="s">
        <v>3</v>
      </c>
      <c r="H5" s="34" t="s">
        <v>121</v>
      </c>
    </row>
    <row r="6" spans="2:11" ht="32.25" customHeight="1" x14ac:dyDescent="0.25">
      <c r="D6" s="8" t="s">
        <v>4</v>
      </c>
      <c r="E6" s="17">
        <v>3.81</v>
      </c>
      <c r="F6" s="18" t="s">
        <v>5</v>
      </c>
      <c r="G6" s="19">
        <v>187000</v>
      </c>
      <c r="H6" s="38">
        <f t="shared" ref="H6:H22" si="0">G6*E6</f>
        <v>712470</v>
      </c>
    </row>
    <row r="7" spans="2:11" ht="30" x14ac:dyDescent="0.25">
      <c r="D7" s="8" t="s">
        <v>6</v>
      </c>
      <c r="E7" s="17">
        <v>10.95</v>
      </c>
      <c r="F7" s="18" t="s">
        <v>5</v>
      </c>
      <c r="G7" s="19">
        <v>127500</v>
      </c>
      <c r="H7" s="38">
        <f t="shared" si="0"/>
        <v>1396125</v>
      </c>
    </row>
    <row r="8" spans="2:11" ht="30" x14ac:dyDescent="0.25">
      <c r="D8" s="8" t="s">
        <v>7</v>
      </c>
      <c r="E8" s="17">
        <v>0.53</v>
      </c>
      <c r="F8" s="18" t="s">
        <v>8</v>
      </c>
      <c r="G8" s="19">
        <v>438600</v>
      </c>
      <c r="H8" s="38">
        <f t="shared" si="0"/>
        <v>232458</v>
      </c>
    </row>
    <row r="9" spans="2:11" ht="30" x14ac:dyDescent="0.25">
      <c r="D9" s="8" t="s">
        <v>9</v>
      </c>
      <c r="E9" s="17">
        <v>3.45</v>
      </c>
      <c r="F9" s="18" t="s">
        <v>10</v>
      </c>
      <c r="G9" s="19">
        <v>61200</v>
      </c>
      <c r="H9" s="38">
        <f t="shared" si="0"/>
        <v>211140</v>
      </c>
    </row>
    <row r="10" spans="2:11" x14ac:dyDescent="0.25">
      <c r="D10" s="8" t="s">
        <v>11</v>
      </c>
      <c r="E10" s="17">
        <v>2.83</v>
      </c>
      <c r="F10" s="18" t="s">
        <v>12</v>
      </c>
      <c r="G10" s="19">
        <v>187000</v>
      </c>
      <c r="H10" s="38">
        <f t="shared" si="0"/>
        <v>529210</v>
      </c>
    </row>
    <row r="11" spans="2:11" x14ac:dyDescent="0.25">
      <c r="D11" s="8" t="s">
        <v>13</v>
      </c>
      <c r="E11" s="17">
        <v>12.24</v>
      </c>
      <c r="F11" s="18" t="s">
        <v>12</v>
      </c>
      <c r="G11" s="19">
        <v>1700</v>
      </c>
      <c r="H11" s="38">
        <f t="shared" si="0"/>
        <v>20808</v>
      </c>
    </row>
    <row r="12" spans="2:11" x14ac:dyDescent="0.25">
      <c r="D12" s="8" t="s">
        <v>14</v>
      </c>
      <c r="E12" s="17">
        <v>0.94</v>
      </c>
      <c r="F12" s="18" t="s">
        <v>15</v>
      </c>
      <c r="G12" s="19">
        <v>85000</v>
      </c>
      <c r="H12" s="38">
        <f t="shared" si="0"/>
        <v>79900</v>
      </c>
    </row>
    <row r="13" spans="2:11" ht="30.75" customHeight="1" x14ac:dyDescent="0.25">
      <c r="D13" s="8" t="s">
        <v>16</v>
      </c>
      <c r="E13" s="17">
        <v>3.61</v>
      </c>
      <c r="F13" s="18" t="s">
        <v>17</v>
      </c>
      <c r="G13" s="19">
        <v>28220</v>
      </c>
      <c r="H13" s="38">
        <f t="shared" si="0"/>
        <v>101874.2</v>
      </c>
    </row>
    <row r="14" spans="2:11" ht="30" x14ac:dyDescent="0.25">
      <c r="D14" s="8" t="s">
        <v>18</v>
      </c>
      <c r="E14" s="17">
        <v>3.48</v>
      </c>
      <c r="F14" s="18" t="s">
        <v>19</v>
      </c>
      <c r="G14" s="19">
        <v>28900</v>
      </c>
      <c r="H14" s="38">
        <f t="shared" si="0"/>
        <v>100572</v>
      </c>
    </row>
    <row r="15" spans="2:11" ht="30" x14ac:dyDescent="0.25">
      <c r="D15" s="8" t="s">
        <v>20</v>
      </c>
      <c r="E15" s="17">
        <v>3.56</v>
      </c>
      <c r="F15" s="18" t="s">
        <v>21</v>
      </c>
      <c r="G15" s="19">
        <v>34000</v>
      </c>
      <c r="H15" s="38">
        <f t="shared" si="0"/>
        <v>121040</v>
      </c>
    </row>
    <row r="16" spans="2:11" ht="30" x14ac:dyDescent="0.25">
      <c r="D16" s="8" t="s">
        <v>22</v>
      </c>
      <c r="E16" s="17">
        <v>1.56</v>
      </c>
      <c r="F16" s="18" t="s">
        <v>15</v>
      </c>
      <c r="G16" s="19">
        <v>35360</v>
      </c>
      <c r="H16" s="38">
        <f t="shared" si="0"/>
        <v>55161.599999999999</v>
      </c>
    </row>
    <row r="17" spans="4:8" x14ac:dyDescent="0.25">
      <c r="D17" s="8" t="s">
        <v>23</v>
      </c>
      <c r="E17" s="17">
        <v>12.55</v>
      </c>
      <c r="F17" s="18" t="s">
        <v>8</v>
      </c>
      <c r="G17" s="19">
        <v>11220</v>
      </c>
      <c r="H17" s="38">
        <f t="shared" si="0"/>
        <v>140811</v>
      </c>
    </row>
    <row r="18" spans="4:8" ht="34.5" customHeight="1" x14ac:dyDescent="0.25">
      <c r="D18" s="8" t="s">
        <v>24</v>
      </c>
      <c r="E18" s="17">
        <v>0.56000000000000005</v>
      </c>
      <c r="F18" s="18" t="s">
        <v>5</v>
      </c>
      <c r="G18" s="19">
        <v>38250</v>
      </c>
      <c r="H18" s="38">
        <f t="shared" si="0"/>
        <v>21420.000000000004</v>
      </c>
    </row>
    <row r="19" spans="4:8" x14ac:dyDescent="0.25">
      <c r="D19" s="8" t="s">
        <v>25</v>
      </c>
      <c r="E19" s="17">
        <v>0.09</v>
      </c>
      <c r="F19" s="18" t="s">
        <v>15</v>
      </c>
      <c r="G19" s="19">
        <v>34000</v>
      </c>
      <c r="H19" s="38">
        <f t="shared" si="0"/>
        <v>3060</v>
      </c>
    </row>
    <row r="20" spans="4:8" x14ac:dyDescent="0.25">
      <c r="D20" s="8" t="s">
        <v>26</v>
      </c>
      <c r="E20" s="17">
        <v>2.65</v>
      </c>
      <c r="F20" s="18" t="s">
        <v>12</v>
      </c>
      <c r="G20" s="19">
        <v>18387.2</v>
      </c>
      <c r="H20" s="38">
        <f t="shared" si="0"/>
        <v>48726.080000000002</v>
      </c>
    </row>
    <row r="21" spans="4:8" ht="30" x14ac:dyDescent="0.25">
      <c r="D21" s="8" t="s">
        <v>27</v>
      </c>
      <c r="E21" s="17">
        <v>13.38</v>
      </c>
      <c r="F21" s="18" t="s">
        <v>15</v>
      </c>
      <c r="G21" s="19"/>
      <c r="H21" s="38">
        <f t="shared" si="0"/>
        <v>0</v>
      </c>
    </row>
    <row r="22" spans="4:8" ht="30" x14ac:dyDescent="0.25">
      <c r="D22" s="7" t="s">
        <v>28</v>
      </c>
      <c r="E22" s="20">
        <v>7.4</v>
      </c>
      <c r="F22" s="21" t="s">
        <v>15</v>
      </c>
      <c r="G22" s="19"/>
      <c r="H22" s="38">
        <f t="shared" si="0"/>
        <v>0</v>
      </c>
    </row>
    <row r="23" spans="4:8" ht="30" x14ac:dyDescent="0.25">
      <c r="D23" s="7" t="s">
        <v>29</v>
      </c>
      <c r="E23" s="37"/>
      <c r="F23" s="35"/>
      <c r="G23" s="36"/>
      <c r="H23" s="38"/>
    </row>
    <row r="24" spans="4:8" x14ac:dyDescent="0.25">
      <c r="D24" s="7" t="s">
        <v>30</v>
      </c>
      <c r="E24" s="20"/>
      <c r="F24" s="21"/>
      <c r="G24" s="19"/>
      <c r="H24" s="38"/>
    </row>
    <row r="25" spans="4:8" x14ac:dyDescent="0.25">
      <c r="D25" s="7" t="s">
        <v>31</v>
      </c>
      <c r="E25" s="20"/>
      <c r="F25" s="21"/>
      <c r="G25" s="19"/>
      <c r="H25" s="38"/>
    </row>
    <row r="26" spans="4:8" x14ac:dyDescent="0.25">
      <c r="D26" s="16" t="s">
        <v>32</v>
      </c>
      <c r="E26" s="17">
        <v>21.8246</v>
      </c>
      <c r="F26" s="18"/>
      <c r="G26" s="19"/>
      <c r="H26" s="38"/>
    </row>
    <row r="27" spans="4:8" x14ac:dyDescent="0.25">
      <c r="D27" s="51" t="s">
        <v>122</v>
      </c>
      <c r="E27" s="52"/>
      <c r="F27" s="52"/>
      <c r="G27" s="53"/>
      <c r="H27" s="48">
        <f>SUM(H6:H26)</f>
        <v>3774775.8800000004</v>
      </c>
    </row>
    <row r="33" spans="2:14" ht="26.25" x14ac:dyDescent="0.4">
      <c r="B33" s="50" t="s">
        <v>35</v>
      </c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</row>
    <row r="35" spans="2:14" ht="45" x14ac:dyDescent="0.25">
      <c r="D35" s="33" t="s">
        <v>0</v>
      </c>
      <c r="E35" s="5" t="s">
        <v>1</v>
      </c>
      <c r="F35" s="5" t="s">
        <v>36</v>
      </c>
      <c r="G35" s="39" t="s">
        <v>37</v>
      </c>
      <c r="H35" s="34" t="s">
        <v>121</v>
      </c>
    </row>
    <row r="36" spans="2:14" x14ac:dyDescent="0.25">
      <c r="D36" s="7" t="s">
        <v>38</v>
      </c>
      <c r="E36" s="9">
        <v>2.6067708333333335</v>
      </c>
      <c r="F36" s="10" t="s">
        <v>15</v>
      </c>
      <c r="G36" s="11">
        <v>44880</v>
      </c>
      <c r="H36" s="12">
        <f>E36*G36</f>
        <v>116991.875</v>
      </c>
    </row>
    <row r="37" spans="2:14" ht="30" x14ac:dyDescent="0.25">
      <c r="D37" s="7" t="s">
        <v>39</v>
      </c>
      <c r="E37" s="9">
        <v>1935</v>
      </c>
      <c r="F37" s="10" t="s">
        <v>15</v>
      </c>
      <c r="G37" s="11">
        <v>8.5</v>
      </c>
      <c r="H37" s="12">
        <f t="shared" ref="H37:H71" si="1">E37*G37</f>
        <v>16447.5</v>
      </c>
    </row>
    <row r="38" spans="2:14" ht="30" x14ac:dyDescent="0.25">
      <c r="D38" s="7" t="s">
        <v>40</v>
      </c>
      <c r="E38" s="9">
        <v>320.13</v>
      </c>
      <c r="F38" s="10" t="s">
        <v>15</v>
      </c>
      <c r="G38" s="11">
        <v>68</v>
      </c>
      <c r="H38" s="12">
        <f t="shared" si="1"/>
        <v>21768.84</v>
      </c>
    </row>
    <row r="39" spans="2:14" ht="30" x14ac:dyDescent="0.25">
      <c r="D39" s="7" t="s">
        <v>41</v>
      </c>
      <c r="E39" s="9">
        <v>1.17</v>
      </c>
      <c r="F39" s="10" t="s">
        <v>15</v>
      </c>
      <c r="G39" s="11">
        <v>85000</v>
      </c>
      <c r="H39" s="12">
        <f t="shared" si="1"/>
        <v>99450</v>
      </c>
    </row>
    <row r="40" spans="2:14" ht="51.75" customHeight="1" x14ac:dyDescent="0.25">
      <c r="D40" s="7" t="s">
        <v>42</v>
      </c>
      <c r="E40" s="9">
        <v>13.98</v>
      </c>
      <c r="F40" s="10" t="s">
        <v>43</v>
      </c>
      <c r="G40" s="11">
        <v>83300</v>
      </c>
      <c r="H40" s="12">
        <f t="shared" si="1"/>
        <v>1164534</v>
      </c>
    </row>
    <row r="41" spans="2:14" ht="30" x14ac:dyDescent="0.25">
      <c r="D41" s="7" t="s">
        <v>44</v>
      </c>
      <c r="E41" s="9">
        <v>4.57</v>
      </c>
      <c r="F41" s="10" t="s">
        <v>15</v>
      </c>
      <c r="G41" s="11">
        <v>26180</v>
      </c>
      <c r="H41" s="12">
        <f t="shared" si="1"/>
        <v>119642.6</v>
      </c>
    </row>
    <row r="42" spans="2:14" ht="50.25" customHeight="1" x14ac:dyDescent="0.25">
      <c r="D42" s="7" t="s">
        <v>45</v>
      </c>
      <c r="E42" s="9">
        <v>11.52</v>
      </c>
      <c r="F42" s="10" t="s">
        <v>46</v>
      </c>
      <c r="G42" s="11">
        <v>63920</v>
      </c>
      <c r="H42" s="12">
        <f t="shared" si="1"/>
        <v>736358.40000000002</v>
      </c>
    </row>
    <row r="43" spans="2:14" ht="30" x14ac:dyDescent="0.25">
      <c r="D43" s="7" t="s">
        <v>47</v>
      </c>
      <c r="E43" s="9">
        <v>429.22</v>
      </c>
      <c r="F43" s="10" t="s">
        <v>15</v>
      </c>
      <c r="G43" s="11">
        <v>850</v>
      </c>
      <c r="H43" s="12">
        <f t="shared" si="1"/>
        <v>364837</v>
      </c>
    </row>
    <row r="44" spans="2:14" ht="30" x14ac:dyDescent="0.25">
      <c r="D44" s="7" t="s">
        <v>48</v>
      </c>
      <c r="E44" s="9">
        <v>14.1</v>
      </c>
      <c r="F44" s="10" t="s">
        <v>15</v>
      </c>
      <c r="G44" s="11">
        <v>19550</v>
      </c>
      <c r="H44" s="12">
        <f t="shared" si="1"/>
        <v>275655</v>
      </c>
    </row>
    <row r="45" spans="2:14" ht="66" customHeight="1" x14ac:dyDescent="0.25">
      <c r="D45" s="7" t="s">
        <v>49</v>
      </c>
      <c r="E45" s="9">
        <v>11.04</v>
      </c>
      <c r="F45" s="10" t="s">
        <v>15</v>
      </c>
      <c r="G45" s="11">
        <v>26180</v>
      </c>
      <c r="H45" s="12">
        <f t="shared" si="1"/>
        <v>289027.19999999995</v>
      </c>
    </row>
    <row r="46" spans="2:14" x14ac:dyDescent="0.25">
      <c r="D46" s="7" t="s">
        <v>50</v>
      </c>
      <c r="E46" s="9">
        <v>0.43</v>
      </c>
      <c r="F46" s="10" t="s">
        <v>15</v>
      </c>
      <c r="G46" s="11">
        <v>47600</v>
      </c>
      <c r="H46" s="12">
        <f t="shared" si="1"/>
        <v>20468</v>
      </c>
    </row>
    <row r="47" spans="2:14" ht="30" x14ac:dyDescent="0.25">
      <c r="D47" s="7" t="s">
        <v>51</v>
      </c>
      <c r="E47" s="9">
        <v>1.61</v>
      </c>
      <c r="F47" s="10" t="s">
        <v>15</v>
      </c>
      <c r="G47" s="11">
        <v>82280</v>
      </c>
      <c r="H47" s="12">
        <f t="shared" si="1"/>
        <v>132470.80000000002</v>
      </c>
    </row>
    <row r="48" spans="2:14" x14ac:dyDescent="0.25">
      <c r="D48" s="7" t="s">
        <v>52</v>
      </c>
      <c r="E48" s="9">
        <v>3.22</v>
      </c>
      <c r="F48" s="10" t="s">
        <v>15</v>
      </c>
      <c r="G48" s="11">
        <v>61710</v>
      </c>
      <c r="H48" s="12">
        <f t="shared" si="1"/>
        <v>198706.2</v>
      </c>
    </row>
    <row r="49" spans="4:8" ht="48.75" customHeight="1" x14ac:dyDescent="0.25">
      <c r="D49" s="7" t="s">
        <v>53</v>
      </c>
      <c r="E49" s="9">
        <v>3.43</v>
      </c>
      <c r="F49" s="10" t="s">
        <v>43</v>
      </c>
      <c r="G49" s="11">
        <v>83300</v>
      </c>
      <c r="H49" s="12">
        <f t="shared" si="1"/>
        <v>285719</v>
      </c>
    </row>
    <row r="50" spans="4:8" ht="45" x14ac:dyDescent="0.25">
      <c r="D50" s="7" t="s">
        <v>54</v>
      </c>
      <c r="E50" s="9">
        <v>14.73</v>
      </c>
      <c r="F50" s="10" t="s">
        <v>55</v>
      </c>
      <c r="G50" s="11">
        <v>22440</v>
      </c>
      <c r="H50" s="12">
        <f t="shared" si="1"/>
        <v>330541.2</v>
      </c>
    </row>
    <row r="51" spans="4:8" ht="48.75" customHeight="1" x14ac:dyDescent="0.25">
      <c r="D51" s="7" t="s">
        <v>56</v>
      </c>
      <c r="E51" s="9">
        <v>5.2</v>
      </c>
      <c r="F51" s="10" t="s">
        <v>43</v>
      </c>
      <c r="G51" s="11">
        <v>3740</v>
      </c>
      <c r="H51" s="12">
        <f t="shared" si="1"/>
        <v>19448</v>
      </c>
    </row>
    <row r="52" spans="4:8" x14ac:dyDescent="0.25">
      <c r="D52" s="28"/>
      <c r="E52" s="29"/>
      <c r="F52" s="30"/>
      <c r="G52" s="31"/>
      <c r="H52" s="32"/>
    </row>
    <row r="53" spans="4:8" x14ac:dyDescent="0.25">
      <c r="D53" s="23"/>
      <c r="E53" s="24"/>
      <c r="F53" s="25"/>
      <c r="G53" s="26"/>
      <c r="H53" s="27"/>
    </row>
    <row r="54" spans="4:8" ht="30" x14ac:dyDescent="0.25">
      <c r="D54" s="7" t="s">
        <v>57</v>
      </c>
      <c r="E54" s="9">
        <v>14.87</v>
      </c>
      <c r="F54" s="10" t="s">
        <v>5</v>
      </c>
      <c r="G54" s="11">
        <v>14960</v>
      </c>
      <c r="H54" s="12">
        <f t="shared" ref="H54" si="2">E54*G54</f>
        <v>222455.19999999998</v>
      </c>
    </row>
    <row r="55" spans="4:8" ht="63" customHeight="1" x14ac:dyDescent="0.25">
      <c r="D55" s="7" t="s">
        <v>58</v>
      </c>
      <c r="E55" s="9">
        <v>15.47</v>
      </c>
      <c r="F55" s="10" t="s">
        <v>5</v>
      </c>
      <c r="G55" s="11">
        <v>7480</v>
      </c>
      <c r="H55" s="12">
        <f t="shared" si="1"/>
        <v>115715.6</v>
      </c>
    </row>
    <row r="56" spans="4:8" ht="32.25" customHeight="1" x14ac:dyDescent="0.25">
      <c r="D56" s="7" t="s">
        <v>59</v>
      </c>
      <c r="E56" s="9">
        <v>12.22</v>
      </c>
      <c r="F56" s="10" t="s">
        <v>5</v>
      </c>
      <c r="G56" s="11">
        <v>3740</v>
      </c>
      <c r="H56" s="12">
        <f t="shared" si="1"/>
        <v>45702.8</v>
      </c>
    </row>
    <row r="57" spans="4:8" ht="45" x14ac:dyDescent="0.25">
      <c r="D57" s="7" t="s">
        <v>60</v>
      </c>
      <c r="E57" s="9">
        <v>8.98</v>
      </c>
      <c r="F57" s="10" t="s">
        <v>5</v>
      </c>
      <c r="G57" s="11">
        <v>2244</v>
      </c>
      <c r="H57" s="12">
        <f t="shared" si="1"/>
        <v>20151.120000000003</v>
      </c>
    </row>
    <row r="58" spans="4:8" ht="47.25" customHeight="1" x14ac:dyDescent="0.25">
      <c r="D58" s="7" t="s">
        <v>61</v>
      </c>
      <c r="E58" s="9">
        <v>9.2200000000000006</v>
      </c>
      <c r="F58" s="10" t="s">
        <v>46</v>
      </c>
      <c r="G58" s="11">
        <v>0</v>
      </c>
      <c r="H58" s="12">
        <f t="shared" si="1"/>
        <v>0</v>
      </c>
    </row>
    <row r="59" spans="4:8" ht="51.75" customHeight="1" x14ac:dyDescent="0.25">
      <c r="D59" s="7" t="s">
        <v>62</v>
      </c>
      <c r="E59" s="9">
        <v>16.25</v>
      </c>
      <c r="F59" s="10" t="s">
        <v>46</v>
      </c>
      <c r="G59" s="11">
        <v>0</v>
      </c>
      <c r="H59" s="12">
        <f t="shared" si="1"/>
        <v>0</v>
      </c>
    </row>
    <row r="60" spans="4:8" ht="35.25" customHeight="1" x14ac:dyDescent="0.25">
      <c r="D60" s="7" t="s">
        <v>63</v>
      </c>
      <c r="E60" s="9">
        <v>9.74</v>
      </c>
      <c r="F60" s="10" t="s">
        <v>5</v>
      </c>
      <c r="G60" s="11">
        <v>0</v>
      </c>
      <c r="H60" s="12">
        <f t="shared" si="1"/>
        <v>0</v>
      </c>
    </row>
    <row r="61" spans="4:8" ht="45" x14ac:dyDescent="0.25">
      <c r="D61" s="8" t="s">
        <v>64</v>
      </c>
      <c r="E61" s="13">
        <v>15.33</v>
      </c>
      <c r="F61" s="10" t="s">
        <v>65</v>
      </c>
      <c r="G61" s="11">
        <v>0</v>
      </c>
      <c r="H61" s="12">
        <f t="shared" si="1"/>
        <v>0</v>
      </c>
    </row>
    <row r="62" spans="4:8" ht="61.5" customHeight="1" x14ac:dyDescent="0.25">
      <c r="D62" s="7" t="s">
        <v>66</v>
      </c>
      <c r="E62" s="14">
        <v>16.59</v>
      </c>
      <c r="F62" s="15" t="s">
        <v>65</v>
      </c>
      <c r="G62" s="11">
        <v>0</v>
      </c>
      <c r="H62" s="12">
        <f t="shared" si="1"/>
        <v>0</v>
      </c>
    </row>
    <row r="63" spans="4:8" ht="37.5" customHeight="1" x14ac:dyDescent="0.25">
      <c r="D63" s="7" t="s">
        <v>67</v>
      </c>
      <c r="E63" s="14">
        <v>115</v>
      </c>
      <c r="F63" s="15" t="s">
        <v>68</v>
      </c>
      <c r="G63" s="11">
        <v>15300</v>
      </c>
      <c r="H63" s="12">
        <f t="shared" si="1"/>
        <v>1759500</v>
      </c>
    </row>
    <row r="64" spans="4:8" ht="45" x14ac:dyDescent="0.25">
      <c r="D64" s="7" t="s">
        <v>69</v>
      </c>
      <c r="E64" s="14">
        <v>8.9700000000000006</v>
      </c>
      <c r="F64" s="15" t="s">
        <v>5</v>
      </c>
      <c r="G64" s="11">
        <v>0</v>
      </c>
      <c r="H64" s="12">
        <f t="shared" si="1"/>
        <v>0</v>
      </c>
    </row>
    <row r="65" spans="2:13" ht="30" x14ac:dyDescent="0.25">
      <c r="D65" s="7" t="s">
        <v>70</v>
      </c>
      <c r="E65" s="14">
        <v>0.82</v>
      </c>
      <c r="F65" s="15" t="s">
        <v>71</v>
      </c>
      <c r="G65" s="11">
        <v>0</v>
      </c>
      <c r="H65" s="12">
        <f t="shared" si="1"/>
        <v>0</v>
      </c>
    </row>
    <row r="66" spans="2:13" ht="30" x14ac:dyDescent="0.25">
      <c r="D66" s="7" t="s">
        <v>72</v>
      </c>
      <c r="E66" s="14">
        <v>1.03</v>
      </c>
      <c r="F66" s="15" t="s">
        <v>71</v>
      </c>
      <c r="G66" s="11">
        <v>0</v>
      </c>
      <c r="H66" s="12">
        <f t="shared" si="1"/>
        <v>0</v>
      </c>
    </row>
    <row r="67" spans="2:13" ht="30" x14ac:dyDescent="0.25">
      <c r="D67" s="7" t="s">
        <v>73</v>
      </c>
      <c r="E67" s="14"/>
      <c r="F67" s="15" t="s">
        <v>74</v>
      </c>
      <c r="G67" s="11">
        <v>0</v>
      </c>
      <c r="H67" s="12">
        <f t="shared" si="1"/>
        <v>0</v>
      </c>
    </row>
    <row r="68" spans="2:13" ht="30" x14ac:dyDescent="0.25">
      <c r="D68" s="7" t="s">
        <v>75</v>
      </c>
      <c r="E68" s="14">
        <v>0.12</v>
      </c>
      <c r="F68" s="15" t="s">
        <v>15</v>
      </c>
      <c r="G68" s="11">
        <v>0</v>
      </c>
      <c r="H68" s="12">
        <f t="shared" si="1"/>
        <v>0</v>
      </c>
    </row>
    <row r="69" spans="2:13" ht="30" x14ac:dyDescent="0.25">
      <c r="D69" s="7" t="s">
        <v>76</v>
      </c>
      <c r="E69" s="14">
        <v>3.43</v>
      </c>
      <c r="F69" s="15" t="s">
        <v>15</v>
      </c>
      <c r="G69" s="11">
        <v>0</v>
      </c>
      <c r="H69" s="12">
        <f t="shared" si="1"/>
        <v>0</v>
      </c>
    </row>
    <row r="70" spans="2:13" ht="33.75" customHeight="1" x14ac:dyDescent="0.25">
      <c r="D70" s="7" t="s">
        <v>77</v>
      </c>
      <c r="E70" s="14">
        <v>10.5</v>
      </c>
      <c r="F70" s="15" t="s">
        <v>15</v>
      </c>
      <c r="G70" s="11">
        <v>0</v>
      </c>
      <c r="H70" s="12">
        <f t="shared" si="1"/>
        <v>0</v>
      </c>
    </row>
    <row r="71" spans="2:13" x14ac:dyDescent="0.25">
      <c r="D71" s="7" t="s">
        <v>78</v>
      </c>
      <c r="E71" s="14"/>
      <c r="F71" s="15" t="s">
        <v>15</v>
      </c>
      <c r="G71" s="11">
        <v>0</v>
      </c>
      <c r="H71" s="12">
        <f t="shared" si="1"/>
        <v>0</v>
      </c>
    </row>
    <row r="72" spans="2:13" x14ac:dyDescent="0.25">
      <c r="D72" s="54" t="s">
        <v>122</v>
      </c>
      <c r="E72" s="55"/>
      <c r="F72" s="55"/>
      <c r="G72" s="56"/>
      <c r="H72" s="47">
        <f>SUM(H36:H71)</f>
        <v>6355590.335</v>
      </c>
    </row>
    <row r="75" spans="2:13" ht="26.25" x14ac:dyDescent="0.25">
      <c r="B75" s="49" t="s">
        <v>119</v>
      </c>
      <c r="C75" s="49"/>
      <c r="D75" s="49"/>
      <c r="E75" s="49"/>
      <c r="F75" s="49"/>
      <c r="G75" s="49"/>
      <c r="H75" s="49"/>
      <c r="I75" s="49"/>
      <c r="J75" s="49"/>
      <c r="K75" s="49"/>
      <c r="L75" s="49"/>
    </row>
    <row r="77" spans="2:13" ht="45" x14ac:dyDescent="0.25">
      <c r="B77" s="22" t="s">
        <v>120</v>
      </c>
      <c r="C77" s="22" t="s">
        <v>79</v>
      </c>
      <c r="D77" s="22" t="s">
        <v>80</v>
      </c>
      <c r="E77" s="22" t="s">
        <v>81</v>
      </c>
      <c r="F77" s="22" t="s">
        <v>82</v>
      </c>
      <c r="G77" s="22" t="s">
        <v>83</v>
      </c>
      <c r="H77" s="22" t="s">
        <v>84</v>
      </c>
      <c r="I77" s="22" t="s">
        <v>85</v>
      </c>
      <c r="J77" s="22" t="s">
        <v>86</v>
      </c>
      <c r="K77" s="22" t="s">
        <v>87</v>
      </c>
      <c r="L77" s="22" t="s">
        <v>88</v>
      </c>
      <c r="M77" s="1"/>
    </row>
    <row r="78" spans="2:13" x14ac:dyDescent="0.25">
      <c r="B78" s="6">
        <v>1</v>
      </c>
      <c r="C78" s="7" t="s">
        <v>89</v>
      </c>
      <c r="D78" s="40">
        <v>1487000</v>
      </c>
      <c r="E78" s="41">
        <f>D78/12000</f>
        <v>123.91666666666667</v>
      </c>
      <c r="F78" s="11" t="s">
        <v>90</v>
      </c>
      <c r="G78" s="40">
        <f>IF(F78="Oil",D78,0)</f>
        <v>1487000</v>
      </c>
      <c r="H78" s="42">
        <v>0.3</v>
      </c>
      <c r="I78" s="40">
        <f t="shared" ref="I78:I107" si="3">G78*H78</f>
        <v>446100</v>
      </c>
      <c r="J78" s="40">
        <f>IF(F78="Water",D78,0)</f>
        <v>0</v>
      </c>
      <c r="K78" s="11">
        <v>2</v>
      </c>
      <c r="L78" s="43">
        <f t="shared" ref="L78:L107" si="4">E78/K78</f>
        <v>61.958333333333336</v>
      </c>
    </row>
    <row r="79" spans="2:13" x14ac:dyDescent="0.25">
      <c r="B79" s="6">
        <v>2</v>
      </c>
      <c r="C79" s="7" t="s">
        <v>89</v>
      </c>
      <c r="D79" s="40">
        <v>968000</v>
      </c>
      <c r="E79" s="41">
        <f>D79/12000</f>
        <v>80.666666666666671</v>
      </c>
      <c r="F79" s="11" t="s">
        <v>90</v>
      </c>
      <c r="G79" s="40">
        <f>IF(F79="Oil",D79,0)</f>
        <v>968000</v>
      </c>
      <c r="H79" s="42">
        <v>0.3</v>
      </c>
      <c r="I79" s="40">
        <f t="shared" si="3"/>
        <v>290400</v>
      </c>
      <c r="J79" s="40">
        <f>IF(F79="Water",D79,0)</f>
        <v>0</v>
      </c>
      <c r="K79" s="11">
        <v>3</v>
      </c>
      <c r="L79" s="43">
        <f t="shared" si="4"/>
        <v>26.888888888888889</v>
      </c>
    </row>
    <row r="80" spans="2:13" x14ac:dyDescent="0.25">
      <c r="B80" s="6">
        <v>3</v>
      </c>
      <c r="C80" s="7" t="s">
        <v>91</v>
      </c>
      <c r="D80" s="40">
        <v>2316000</v>
      </c>
      <c r="E80" s="41">
        <f>D80/12000</f>
        <v>193</v>
      </c>
      <c r="F80" s="11" t="s">
        <v>90</v>
      </c>
      <c r="G80" s="40">
        <f>IF(F80="Oil",D80,0)</f>
        <v>2316000</v>
      </c>
      <c r="H80" s="42">
        <v>0.5</v>
      </c>
      <c r="I80" s="40">
        <f t="shared" si="3"/>
        <v>1158000</v>
      </c>
      <c r="J80" s="40">
        <f>IF(F80="Water",D80,0)</f>
        <v>0</v>
      </c>
      <c r="K80" s="11">
        <v>2</v>
      </c>
      <c r="L80" s="43">
        <f t="shared" si="4"/>
        <v>96.5</v>
      </c>
    </row>
    <row r="81" spans="2:12" x14ac:dyDescent="0.25">
      <c r="B81" s="6">
        <v>4</v>
      </c>
      <c r="C81" s="7" t="s">
        <v>91</v>
      </c>
      <c r="D81" s="40">
        <v>1260000</v>
      </c>
      <c r="E81" s="41">
        <f>D81/12000</f>
        <v>105</v>
      </c>
      <c r="F81" s="11" t="s">
        <v>92</v>
      </c>
      <c r="G81" s="40">
        <f>IF(F81="Oil",D81,0)</f>
        <v>0</v>
      </c>
      <c r="H81" s="42">
        <v>0</v>
      </c>
      <c r="I81" s="40">
        <f t="shared" si="3"/>
        <v>0</v>
      </c>
      <c r="J81" s="40">
        <f>IF(F81="Water",D81,0)</f>
        <v>1260000</v>
      </c>
      <c r="K81" s="11">
        <v>2</v>
      </c>
      <c r="L81" s="43">
        <f t="shared" si="4"/>
        <v>52.5</v>
      </c>
    </row>
    <row r="82" spans="2:12" x14ac:dyDescent="0.25">
      <c r="B82" s="6">
        <v>5</v>
      </c>
      <c r="C82" s="7" t="s">
        <v>93</v>
      </c>
      <c r="D82" s="40">
        <v>1000000</v>
      </c>
      <c r="E82" s="41">
        <f t="shared" ref="E82:E107" si="5">D82/12000</f>
        <v>83.333333333333329</v>
      </c>
      <c r="F82" s="11" t="s">
        <v>92</v>
      </c>
      <c r="G82" s="40">
        <f t="shared" ref="G82:G107" si="6">IF(F82="Oil",D82,0)</f>
        <v>0</v>
      </c>
      <c r="H82" s="42">
        <v>0</v>
      </c>
      <c r="I82" s="40">
        <f t="shared" si="3"/>
        <v>0</v>
      </c>
      <c r="J82" s="40">
        <f t="shared" ref="J82:J107" si="7">IF(F82="Water",D82,0)</f>
        <v>1000000</v>
      </c>
      <c r="K82" s="11">
        <v>2</v>
      </c>
      <c r="L82" s="43">
        <f t="shared" si="4"/>
        <v>41.666666666666664</v>
      </c>
    </row>
    <row r="83" spans="2:12" x14ac:dyDescent="0.25">
      <c r="B83" s="6">
        <v>6</v>
      </c>
      <c r="C83" s="7" t="s">
        <v>94</v>
      </c>
      <c r="D83" s="40">
        <v>537000</v>
      </c>
      <c r="E83" s="41">
        <f>D83/12000</f>
        <v>44.75</v>
      </c>
      <c r="F83" s="11" t="s">
        <v>92</v>
      </c>
      <c r="G83" s="40">
        <f t="shared" si="6"/>
        <v>0</v>
      </c>
      <c r="H83" s="42">
        <v>0</v>
      </c>
      <c r="I83" s="40">
        <f t="shared" si="3"/>
        <v>0</v>
      </c>
      <c r="J83" s="40">
        <f t="shared" si="7"/>
        <v>537000</v>
      </c>
      <c r="K83" s="11">
        <v>1</v>
      </c>
      <c r="L83" s="43">
        <f t="shared" si="4"/>
        <v>44.75</v>
      </c>
    </row>
    <row r="84" spans="2:12" x14ac:dyDescent="0.25">
      <c r="B84" s="6">
        <v>7</v>
      </c>
      <c r="C84" s="7" t="s">
        <v>94</v>
      </c>
      <c r="D84" s="40">
        <v>99000</v>
      </c>
      <c r="E84" s="41">
        <f>D84/12000</f>
        <v>8.25</v>
      </c>
      <c r="F84" s="11" t="s">
        <v>92</v>
      </c>
      <c r="G84" s="40">
        <f t="shared" si="6"/>
        <v>0</v>
      </c>
      <c r="H84" s="42">
        <v>0</v>
      </c>
      <c r="I84" s="40">
        <f t="shared" si="3"/>
        <v>0</v>
      </c>
      <c r="J84" s="40">
        <f t="shared" si="7"/>
        <v>99000</v>
      </c>
      <c r="K84" s="11">
        <v>1</v>
      </c>
      <c r="L84" s="43">
        <f t="shared" si="4"/>
        <v>8.25</v>
      </c>
    </row>
    <row r="85" spans="2:12" x14ac:dyDescent="0.25">
      <c r="B85" s="6">
        <v>8</v>
      </c>
      <c r="C85" s="7" t="s">
        <v>95</v>
      </c>
      <c r="D85" s="40">
        <v>767000</v>
      </c>
      <c r="E85" s="41">
        <f t="shared" si="5"/>
        <v>63.916666666666664</v>
      </c>
      <c r="F85" s="11" t="s">
        <v>92</v>
      </c>
      <c r="G85" s="40">
        <f t="shared" si="6"/>
        <v>0</v>
      </c>
      <c r="H85" s="42">
        <v>0</v>
      </c>
      <c r="I85" s="40">
        <f t="shared" si="3"/>
        <v>0</v>
      </c>
      <c r="J85" s="40">
        <f t="shared" si="7"/>
        <v>767000</v>
      </c>
      <c r="K85" s="11">
        <v>1</v>
      </c>
      <c r="L85" s="43">
        <f t="shared" si="4"/>
        <v>63.916666666666664</v>
      </c>
    </row>
    <row r="86" spans="2:12" x14ac:dyDescent="0.25">
      <c r="B86" s="6">
        <v>9</v>
      </c>
      <c r="C86" s="7" t="s">
        <v>96</v>
      </c>
      <c r="D86" s="40">
        <v>75600</v>
      </c>
      <c r="E86" s="41">
        <f t="shared" si="5"/>
        <v>6.3</v>
      </c>
      <c r="F86" s="11" t="s">
        <v>90</v>
      </c>
      <c r="G86" s="40">
        <f t="shared" si="6"/>
        <v>75600</v>
      </c>
      <c r="H86" s="42">
        <v>0.3</v>
      </c>
      <c r="I86" s="40">
        <f t="shared" si="3"/>
        <v>22680</v>
      </c>
      <c r="J86" s="40">
        <f t="shared" si="7"/>
        <v>0</v>
      </c>
      <c r="K86" s="11">
        <v>1</v>
      </c>
      <c r="L86" s="43">
        <f t="shared" si="4"/>
        <v>6.3</v>
      </c>
    </row>
    <row r="87" spans="2:12" x14ac:dyDescent="0.25">
      <c r="B87" s="6">
        <v>10</v>
      </c>
      <c r="C87" s="7" t="s">
        <v>94</v>
      </c>
      <c r="D87" s="40">
        <v>36000</v>
      </c>
      <c r="E87" s="41">
        <f t="shared" si="5"/>
        <v>3</v>
      </c>
      <c r="F87" s="11" t="s">
        <v>92</v>
      </c>
      <c r="G87" s="40">
        <f t="shared" si="6"/>
        <v>0</v>
      </c>
      <c r="H87" s="42">
        <v>0</v>
      </c>
      <c r="I87" s="40">
        <f t="shared" si="3"/>
        <v>0</v>
      </c>
      <c r="J87" s="40">
        <f t="shared" si="7"/>
        <v>36000</v>
      </c>
      <c r="K87" s="11">
        <v>1</v>
      </c>
      <c r="L87" s="43">
        <f t="shared" si="4"/>
        <v>3</v>
      </c>
    </row>
    <row r="88" spans="2:12" x14ac:dyDescent="0.25">
      <c r="B88" s="6">
        <v>11</v>
      </c>
      <c r="C88" s="7" t="s">
        <v>97</v>
      </c>
      <c r="D88" s="40">
        <v>84000</v>
      </c>
      <c r="E88" s="41">
        <f t="shared" si="5"/>
        <v>7</v>
      </c>
      <c r="F88" s="11" t="s">
        <v>92</v>
      </c>
      <c r="G88" s="40">
        <f t="shared" si="6"/>
        <v>0</v>
      </c>
      <c r="H88" s="42">
        <v>0</v>
      </c>
      <c r="I88" s="40">
        <f t="shared" si="3"/>
        <v>0</v>
      </c>
      <c r="J88" s="40">
        <f t="shared" si="7"/>
        <v>84000</v>
      </c>
      <c r="K88" s="11">
        <v>1</v>
      </c>
      <c r="L88" s="43">
        <f t="shared" si="4"/>
        <v>7</v>
      </c>
    </row>
    <row r="89" spans="2:12" x14ac:dyDescent="0.25">
      <c r="B89" s="6">
        <v>12</v>
      </c>
      <c r="C89" s="7" t="s">
        <v>98</v>
      </c>
      <c r="D89" s="40">
        <v>84000</v>
      </c>
      <c r="E89" s="41">
        <f t="shared" si="5"/>
        <v>7</v>
      </c>
      <c r="F89" s="11" t="s">
        <v>92</v>
      </c>
      <c r="G89" s="40">
        <f t="shared" si="6"/>
        <v>0</v>
      </c>
      <c r="H89" s="42">
        <v>0</v>
      </c>
      <c r="I89" s="40">
        <f t="shared" si="3"/>
        <v>0</v>
      </c>
      <c r="J89" s="40">
        <f t="shared" si="7"/>
        <v>84000</v>
      </c>
      <c r="K89" s="11">
        <v>1</v>
      </c>
      <c r="L89" s="43">
        <f t="shared" si="4"/>
        <v>7</v>
      </c>
    </row>
    <row r="90" spans="2:12" ht="30" x14ac:dyDescent="0.25">
      <c r="B90" s="6">
        <v>13</v>
      </c>
      <c r="C90" s="7" t="s">
        <v>99</v>
      </c>
      <c r="D90" s="40">
        <v>70000</v>
      </c>
      <c r="E90" s="41">
        <f t="shared" si="5"/>
        <v>5.833333333333333</v>
      </c>
      <c r="F90" s="11" t="s">
        <v>92</v>
      </c>
      <c r="G90" s="40">
        <f t="shared" si="6"/>
        <v>0</v>
      </c>
      <c r="H90" s="42">
        <v>0</v>
      </c>
      <c r="I90" s="40">
        <f t="shared" si="3"/>
        <v>0</v>
      </c>
      <c r="J90" s="40">
        <f t="shared" si="7"/>
        <v>70000</v>
      </c>
      <c r="K90" s="11">
        <v>1</v>
      </c>
      <c r="L90" s="43">
        <f t="shared" si="4"/>
        <v>5.833333333333333</v>
      </c>
    </row>
    <row r="91" spans="2:12" x14ac:dyDescent="0.25">
      <c r="B91" s="6">
        <v>14</v>
      </c>
      <c r="C91" s="7" t="s">
        <v>100</v>
      </c>
      <c r="D91" s="40">
        <v>36000</v>
      </c>
      <c r="E91" s="41">
        <f t="shared" si="5"/>
        <v>3</v>
      </c>
      <c r="F91" s="11" t="s">
        <v>92</v>
      </c>
      <c r="G91" s="40">
        <f t="shared" si="6"/>
        <v>0</v>
      </c>
      <c r="H91" s="42">
        <v>0</v>
      </c>
      <c r="I91" s="40">
        <f t="shared" si="3"/>
        <v>0</v>
      </c>
      <c r="J91" s="40">
        <f t="shared" si="7"/>
        <v>36000</v>
      </c>
      <c r="K91" s="11">
        <v>1</v>
      </c>
      <c r="L91" s="43">
        <f t="shared" si="4"/>
        <v>3</v>
      </c>
    </row>
    <row r="92" spans="2:12" ht="30" x14ac:dyDescent="0.25">
      <c r="B92" s="6">
        <v>15</v>
      </c>
      <c r="C92" s="7" t="s">
        <v>101</v>
      </c>
      <c r="D92" s="40">
        <v>900000</v>
      </c>
      <c r="E92" s="41">
        <f t="shared" si="5"/>
        <v>75</v>
      </c>
      <c r="F92" s="11" t="s">
        <v>92</v>
      </c>
      <c r="G92" s="40">
        <f t="shared" si="6"/>
        <v>0</v>
      </c>
      <c r="H92" s="42">
        <v>0</v>
      </c>
      <c r="I92" s="40">
        <f t="shared" si="3"/>
        <v>0</v>
      </c>
      <c r="J92" s="40">
        <f t="shared" si="7"/>
        <v>900000</v>
      </c>
      <c r="K92" s="11">
        <v>1</v>
      </c>
      <c r="L92" s="43">
        <f t="shared" si="4"/>
        <v>75</v>
      </c>
    </row>
    <row r="93" spans="2:12" x14ac:dyDescent="0.25">
      <c r="B93" s="6">
        <v>16</v>
      </c>
      <c r="C93" s="7" t="s">
        <v>95</v>
      </c>
      <c r="D93" s="40">
        <v>400000</v>
      </c>
      <c r="E93" s="41">
        <f t="shared" si="5"/>
        <v>33.333333333333336</v>
      </c>
      <c r="F93" s="11" t="s">
        <v>92</v>
      </c>
      <c r="G93" s="40">
        <f t="shared" si="6"/>
        <v>0</v>
      </c>
      <c r="H93" s="42">
        <v>0</v>
      </c>
      <c r="I93" s="40">
        <f t="shared" si="3"/>
        <v>0</v>
      </c>
      <c r="J93" s="40">
        <f t="shared" si="7"/>
        <v>400000</v>
      </c>
      <c r="K93" s="11">
        <v>1</v>
      </c>
      <c r="L93" s="43">
        <f t="shared" si="4"/>
        <v>33.333333333333336</v>
      </c>
    </row>
    <row r="94" spans="2:12" ht="30" x14ac:dyDescent="0.25">
      <c r="B94" s="6">
        <v>17</v>
      </c>
      <c r="C94" s="7" t="s">
        <v>102</v>
      </c>
      <c r="D94" s="40">
        <v>50000</v>
      </c>
      <c r="E94" s="41">
        <f t="shared" si="5"/>
        <v>4.166666666666667</v>
      </c>
      <c r="F94" s="11" t="s">
        <v>92</v>
      </c>
      <c r="G94" s="40">
        <f t="shared" si="6"/>
        <v>0</v>
      </c>
      <c r="H94" s="42">
        <v>0</v>
      </c>
      <c r="I94" s="40">
        <f t="shared" si="3"/>
        <v>0</v>
      </c>
      <c r="J94" s="40">
        <f t="shared" si="7"/>
        <v>50000</v>
      </c>
      <c r="K94" s="11">
        <v>1</v>
      </c>
      <c r="L94" s="43">
        <f t="shared" si="4"/>
        <v>4.166666666666667</v>
      </c>
    </row>
    <row r="95" spans="2:12" x14ac:dyDescent="0.25">
      <c r="B95" s="6">
        <v>18</v>
      </c>
      <c r="C95" s="7" t="s">
        <v>89</v>
      </c>
      <c r="D95" s="40">
        <v>960000</v>
      </c>
      <c r="E95" s="41">
        <f t="shared" si="5"/>
        <v>80</v>
      </c>
      <c r="F95" s="11" t="s">
        <v>90</v>
      </c>
      <c r="G95" s="40">
        <f t="shared" si="6"/>
        <v>960000</v>
      </c>
      <c r="H95" s="42">
        <v>0.3</v>
      </c>
      <c r="I95" s="40">
        <f t="shared" si="3"/>
        <v>288000</v>
      </c>
      <c r="J95" s="40">
        <f t="shared" si="7"/>
        <v>0</v>
      </c>
      <c r="K95" s="11">
        <v>1</v>
      </c>
      <c r="L95" s="43">
        <f t="shared" si="4"/>
        <v>80</v>
      </c>
    </row>
    <row r="96" spans="2:12" ht="30" x14ac:dyDescent="0.25">
      <c r="B96" s="6">
        <v>19</v>
      </c>
      <c r="C96" s="7" t="s">
        <v>103</v>
      </c>
      <c r="D96" s="40">
        <v>20000</v>
      </c>
      <c r="E96" s="41">
        <f t="shared" si="5"/>
        <v>1.6666666666666667</v>
      </c>
      <c r="F96" s="11" t="s">
        <v>92</v>
      </c>
      <c r="G96" s="40">
        <f t="shared" si="6"/>
        <v>0</v>
      </c>
      <c r="H96" s="42">
        <v>0</v>
      </c>
      <c r="I96" s="40">
        <f t="shared" si="3"/>
        <v>0</v>
      </c>
      <c r="J96" s="40">
        <f t="shared" si="7"/>
        <v>20000</v>
      </c>
      <c r="K96" s="11">
        <v>1</v>
      </c>
      <c r="L96" s="43">
        <f t="shared" si="4"/>
        <v>1.6666666666666667</v>
      </c>
    </row>
    <row r="97" spans="2:13" x14ac:dyDescent="0.25">
      <c r="B97" s="6">
        <v>20</v>
      </c>
      <c r="C97" s="7" t="s">
        <v>104</v>
      </c>
      <c r="D97" s="40">
        <v>15000</v>
      </c>
      <c r="E97" s="41">
        <f t="shared" si="5"/>
        <v>1.25</v>
      </c>
      <c r="F97" s="11" t="s">
        <v>92</v>
      </c>
      <c r="G97" s="40">
        <f t="shared" si="6"/>
        <v>0</v>
      </c>
      <c r="H97" s="42">
        <v>0</v>
      </c>
      <c r="I97" s="40">
        <f t="shared" si="3"/>
        <v>0</v>
      </c>
      <c r="J97" s="40">
        <f t="shared" si="7"/>
        <v>15000</v>
      </c>
      <c r="K97" s="11">
        <v>1</v>
      </c>
      <c r="L97" s="43">
        <f t="shared" si="4"/>
        <v>1.25</v>
      </c>
    </row>
    <row r="98" spans="2:13" ht="30" x14ac:dyDescent="0.25">
      <c r="B98" s="6">
        <v>21</v>
      </c>
      <c r="C98" s="7" t="s">
        <v>105</v>
      </c>
      <c r="D98" s="40">
        <v>65000</v>
      </c>
      <c r="E98" s="41">
        <f t="shared" si="5"/>
        <v>5.416666666666667</v>
      </c>
      <c r="F98" s="11" t="s">
        <v>90</v>
      </c>
      <c r="G98" s="40">
        <f t="shared" si="6"/>
        <v>65000</v>
      </c>
      <c r="H98" s="42">
        <v>0</v>
      </c>
      <c r="I98" s="40">
        <f t="shared" si="3"/>
        <v>0</v>
      </c>
      <c r="J98" s="40">
        <f t="shared" si="7"/>
        <v>0</v>
      </c>
      <c r="K98" s="11">
        <v>1</v>
      </c>
      <c r="L98" s="43">
        <f t="shared" si="4"/>
        <v>5.416666666666667</v>
      </c>
    </row>
    <row r="99" spans="2:13" x14ac:dyDescent="0.25">
      <c r="B99" s="6">
        <v>22</v>
      </c>
      <c r="C99" s="7" t="s">
        <v>106</v>
      </c>
      <c r="D99" s="40">
        <v>250000</v>
      </c>
      <c r="E99" s="41">
        <f t="shared" si="5"/>
        <v>20.833333333333332</v>
      </c>
      <c r="F99" s="11" t="s">
        <v>92</v>
      </c>
      <c r="G99" s="40">
        <f t="shared" si="6"/>
        <v>0</v>
      </c>
      <c r="H99" s="42">
        <v>0</v>
      </c>
      <c r="I99" s="40">
        <f t="shared" si="3"/>
        <v>0</v>
      </c>
      <c r="J99" s="40">
        <f t="shared" si="7"/>
        <v>250000</v>
      </c>
      <c r="K99" s="11">
        <v>1</v>
      </c>
      <c r="L99" s="43">
        <f t="shared" si="4"/>
        <v>20.833333333333332</v>
      </c>
    </row>
    <row r="100" spans="2:13" x14ac:dyDescent="0.25">
      <c r="B100" s="6">
        <v>23</v>
      </c>
      <c r="C100" s="7" t="s">
        <v>107</v>
      </c>
      <c r="D100" s="40">
        <v>40000</v>
      </c>
      <c r="E100" s="41">
        <f t="shared" si="5"/>
        <v>3.3333333333333335</v>
      </c>
      <c r="F100" s="11" t="s">
        <v>92</v>
      </c>
      <c r="G100" s="40">
        <f t="shared" si="6"/>
        <v>0</v>
      </c>
      <c r="H100" s="42">
        <v>0</v>
      </c>
      <c r="I100" s="40">
        <f t="shared" si="3"/>
        <v>0</v>
      </c>
      <c r="J100" s="40">
        <f t="shared" si="7"/>
        <v>40000</v>
      </c>
      <c r="K100" s="11">
        <v>1</v>
      </c>
      <c r="L100" s="43">
        <f t="shared" si="4"/>
        <v>3.3333333333333335</v>
      </c>
    </row>
    <row r="101" spans="2:13" x14ac:dyDescent="0.25">
      <c r="B101" s="6">
        <v>24</v>
      </c>
      <c r="C101" s="7" t="s">
        <v>108</v>
      </c>
      <c r="D101" s="40">
        <v>340000</v>
      </c>
      <c r="E101" s="41">
        <f t="shared" si="5"/>
        <v>28.333333333333332</v>
      </c>
      <c r="F101" s="11" t="s">
        <v>92</v>
      </c>
      <c r="G101" s="40">
        <f t="shared" si="6"/>
        <v>0</v>
      </c>
      <c r="H101" s="42">
        <v>0</v>
      </c>
      <c r="I101" s="40">
        <f t="shared" si="3"/>
        <v>0</v>
      </c>
      <c r="J101" s="40">
        <f t="shared" si="7"/>
        <v>340000</v>
      </c>
      <c r="K101" s="11">
        <v>1</v>
      </c>
      <c r="L101" s="43">
        <f t="shared" si="4"/>
        <v>28.333333333333332</v>
      </c>
    </row>
    <row r="102" spans="2:13" x14ac:dyDescent="0.25">
      <c r="B102" s="6">
        <v>25</v>
      </c>
      <c r="C102" s="7" t="s">
        <v>109</v>
      </c>
      <c r="D102" s="40">
        <v>340000</v>
      </c>
      <c r="E102" s="41">
        <f t="shared" si="5"/>
        <v>28.333333333333332</v>
      </c>
      <c r="F102" s="11" t="s">
        <v>92</v>
      </c>
      <c r="G102" s="40">
        <f t="shared" si="6"/>
        <v>0</v>
      </c>
      <c r="H102" s="42">
        <v>0</v>
      </c>
      <c r="I102" s="40">
        <f t="shared" si="3"/>
        <v>0</v>
      </c>
      <c r="J102" s="40">
        <f t="shared" si="7"/>
        <v>340000</v>
      </c>
      <c r="K102" s="11">
        <v>1</v>
      </c>
      <c r="L102" s="43">
        <f t="shared" si="4"/>
        <v>28.333333333333332</v>
      </c>
    </row>
    <row r="103" spans="2:13" ht="30" x14ac:dyDescent="0.25">
      <c r="B103" s="6">
        <v>26</v>
      </c>
      <c r="C103" s="7" t="s">
        <v>110</v>
      </c>
      <c r="D103" s="40">
        <v>231000</v>
      </c>
      <c r="E103" s="41">
        <f t="shared" si="5"/>
        <v>19.25</v>
      </c>
      <c r="F103" s="11" t="s">
        <v>90</v>
      </c>
      <c r="G103" s="40">
        <f t="shared" si="6"/>
        <v>231000</v>
      </c>
      <c r="H103" s="42">
        <v>0.5</v>
      </c>
      <c r="I103" s="40">
        <f t="shared" si="3"/>
        <v>115500</v>
      </c>
      <c r="J103" s="40">
        <f t="shared" si="7"/>
        <v>0</v>
      </c>
      <c r="K103" s="11">
        <v>1</v>
      </c>
      <c r="L103" s="43">
        <f t="shared" si="4"/>
        <v>19.25</v>
      </c>
    </row>
    <row r="104" spans="2:13" ht="30" x14ac:dyDescent="0.25">
      <c r="B104" s="6">
        <v>27</v>
      </c>
      <c r="C104" s="7" t="s">
        <v>111</v>
      </c>
      <c r="D104" s="40">
        <v>35000</v>
      </c>
      <c r="E104" s="41">
        <f t="shared" si="5"/>
        <v>2.9166666666666665</v>
      </c>
      <c r="F104" s="11" t="s">
        <v>92</v>
      </c>
      <c r="G104" s="40">
        <f t="shared" si="6"/>
        <v>0</v>
      </c>
      <c r="H104" s="42">
        <v>0</v>
      </c>
      <c r="I104" s="40">
        <f t="shared" si="3"/>
        <v>0</v>
      </c>
      <c r="J104" s="40">
        <f t="shared" si="7"/>
        <v>35000</v>
      </c>
      <c r="K104" s="11">
        <v>1</v>
      </c>
      <c r="L104" s="43">
        <f t="shared" si="4"/>
        <v>2.9166666666666665</v>
      </c>
    </row>
    <row r="105" spans="2:13" x14ac:dyDescent="0.25">
      <c r="B105" s="6">
        <v>28</v>
      </c>
      <c r="C105" s="7" t="s">
        <v>94</v>
      </c>
      <c r="D105" s="40">
        <v>870000</v>
      </c>
      <c r="E105" s="41">
        <f t="shared" si="5"/>
        <v>72.5</v>
      </c>
      <c r="F105" s="11" t="s">
        <v>92</v>
      </c>
      <c r="G105" s="40">
        <f t="shared" si="6"/>
        <v>0</v>
      </c>
      <c r="H105" s="42">
        <v>0</v>
      </c>
      <c r="I105" s="40">
        <f t="shared" si="3"/>
        <v>0</v>
      </c>
      <c r="J105" s="40">
        <f t="shared" si="7"/>
        <v>870000</v>
      </c>
      <c r="K105" s="11">
        <v>1</v>
      </c>
      <c r="L105" s="43">
        <f t="shared" si="4"/>
        <v>72.5</v>
      </c>
    </row>
    <row r="106" spans="2:13" x14ac:dyDescent="0.25">
      <c r="B106" s="6">
        <v>29</v>
      </c>
      <c r="C106" s="7" t="s">
        <v>95</v>
      </c>
      <c r="D106" s="40">
        <v>650000</v>
      </c>
      <c r="E106" s="41">
        <f t="shared" si="5"/>
        <v>54.166666666666664</v>
      </c>
      <c r="F106" s="11" t="s">
        <v>92</v>
      </c>
      <c r="G106" s="40">
        <f t="shared" si="6"/>
        <v>0</v>
      </c>
      <c r="H106" s="42">
        <v>0</v>
      </c>
      <c r="I106" s="40">
        <f t="shared" si="3"/>
        <v>0</v>
      </c>
      <c r="J106" s="40">
        <f t="shared" si="7"/>
        <v>650000</v>
      </c>
      <c r="K106" s="11">
        <v>1</v>
      </c>
      <c r="L106" s="43">
        <f t="shared" si="4"/>
        <v>54.166666666666664</v>
      </c>
    </row>
    <row r="107" spans="2:13" x14ac:dyDescent="0.25">
      <c r="B107" s="6">
        <v>30</v>
      </c>
      <c r="C107" s="7" t="s">
        <v>89</v>
      </c>
      <c r="D107" s="40">
        <v>720000</v>
      </c>
      <c r="E107" s="41">
        <f t="shared" si="5"/>
        <v>60</v>
      </c>
      <c r="F107" s="11" t="s">
        <v>90</v>
      </c>
      <c r="G107" s="40">
        <f t="shared" si="6"/>
        <v>720000</v>
      </c>
      <c r="H107" s="42">
        <v>0.3</v>
      </c>
      <c r="I107" s="40">
        <f t="shared" si="3"/>
        <v>216000</v>
      </c>
      <c r="J107" s="40">
        <f t="shared" si="7"/>
        <v>0</v>
      </c>
      <c r="K107" s="11">
        <v>1</v>
      </c>
      <c r="L107" s="43">
        <f t="shared" si="4"/>
        <v>60</v>
      </c>
    </row>
    <row r="110" spans="2:13" x14ac:dyDescent="0.25">
      <c r="B110" s="2"/>
      <c r="C110" s="2" t="s">
        <v>33</v>
      </c>
      <c r="D110" s="3">
        <f>SUM(D78:D107)</f>
        <v>14705600</v>
      </c>
      <c r="E110" s="3"/>
      <c r="F110" s="3"/>
      <c r="G110" s="3">
        <f>SUM(G78:G107)</f>
        <v>6822600</v>
      </c>
      <c r="H110" s="3"/>
      <c r="I110" s="3">
        <f>SUM(I78:I107)</f>
        <v>2536680</v>
      </c>
      <c r="J110" s="3">
        <f>SUM(J78:J107)</f>
        <v>7883000</v>
      </c>
      <c r="K110" s="2">
        <f>SUM(K78:K107)</f>
        <v>36</v>
      </c>
      <c r="L110" s="2"/>
      <c r="M110" s="2">
        <f>SUM(L78:L107)</f>
        <v>919.06388888888887</v>
      </c>
    </row>
    <row r="111" spans="2:13" x14ac:dyDescent="0.25">
      <c r="L111" t="s">
        <v>123</v>
      </c>
      <c r="M111">
        <f>M110*12</f>
        <v>11028.766666666666</v>
      </c>
    </row>
    <row r="112" spans="2:13" x14ac:dyDescent="0.25">
      <c r="B112" s="4"/>
      <c r="C112" s="44" t="s">
        <v>112</v>
      </c>
      <c r="D112" s="44" t="s">
        <v>124</v>
      </c>
      <c r="E112" s="44" t="s">
        <v>113</v>
      </c>
      <c r="F112" s="44"/>
      <c r="G112" s="45" t="s">
        <v>114</v>
      </c>
      <c r="H112" s="44" t="s">
        <v>115</v>
      </c>
      <c r="I112" s="44"/>
      <c r="J112" s="46"/>
      <c r="K112" s="44"/>
      <c r="L112" s="44"/>
      <c r="M112" s="44"/>
    </row>
    <row r="113" spans="2:13" x14ac:dyDescent="0.25">
      <c r="B113" s="4"/>
      <c r="C113" s="44" t="s">
        <v>116</v>
      </c>
      <c r="D113" s="44" t="s">
        <v>117</v>
      </c>
      <c r="E113" s="44" t="s">
        <v>113</v>
      </c>
      <c r="F113" s="44"/>
      <c r="G113" s="45" t="s">
        <v>114</v>
      </c>
      <c r="H113" s="44" t="s">
        <v>118</v>
      </c>
      <c r="I113" s="44"/>
      <c r="J113" s="46"/>
      <c r="K113" s="44"/>
      <c r="L113" s="44"/>
      <c r="M113" s="44"/>
    </row>
  </sheetData>
  <mergeCells count="5">
    <mergeCell ref="B75:L75"/>
    <mergeCell ref="B33:N33"/>
    <mergeCell ref="B3:K3"/>
    <mergeCell ref="D27:G27"/>
    <mergeCell ref="D72:G72"/>
  </mergeCells>
  <pageMargins left="0.70866141732283472" right="0.70866141732283472" top="0.74803149606299213" bottom="0.74803149606299213" header="0.31496062992125984" footer="0.31496062992125984"/>
  <pageSetup paperSize="9" scale="64" orientation="landscape" r:id="rId1"/>
  <rowBreaks count="3" manualBreakCount="3">
    <brk id="30" max="16383" man="1"/>
    <brk id="52" max="16383" man="1"/>
    <brk id="7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Faizan</dc:creator>
  <cp:lastModifiedBy>Ali Faizan</cp:lastModifiedBy>
  <cp:lastPrinted>2020-03-04T07:04:31Z</cp:lastPrinted>
  <dcterms:created xsi:type="dcterms:W3CDTF">2020-03-04T06:05:03Z</dcterms:created>
  <dcterms:modified xsi:type="dcterms:W3CDTF">2020-03-04T08:10:46Z</dcterms:modified>
</cp:coreProperties>
</file>