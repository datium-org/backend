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ahmed\Desktop\"/>
    </mc:Choice>
  </mc:AlternateContent>
  <xr:revisionPtr revIDLastSave="0" documentId="13_ncr:1_{3D153883-534F-40DC-801D-D60D6B18977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udget for 6 months" sheetId="3" r:id="rId1"/>
    <sheet name="Budgeted purchases" sheetId="5" state="hidden" r:id="rId2"/>
    <sheet name="OTHER EMPLOYEE BENEFITS" sheetId="4" state="hidden" r:id="rId3"/>
  </sheets>
  <definedNames>
    <definedName name="_xlnm._FilterDatabase" localSheetId="0" hidden="1">'Budget for 6 months'!$A$21:$G$74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3" l="1"/>
  <c r="V72" i="3"/>
  <c r="U72" i="3"/>
  <c r="T72" i="3"/>
  <c r="S72" i="3"/>
  <c r="V71" i="3"/>
  <c r="U71" i="3"/>
  <c r="T71" i="3"/>
  <c r="S71" i="3"/>
  <c r="V70" i="3"/>
  <c r="U70" i="3"/>
  <c r="T70" i="3"/>
  <c r="S70" i="3"/>
  <c r="V69" i="3"/>
  <c r="U69" i="3"/>
  <c r="T69" i="3"/>
  <c r="T74" i="3" s="1"/>
  <c r="S69" i="3"/>
  <c r="V66" i="3"/>
  <c r="U66" i="3"/>
  <c r="T66" i="3"/>
  <c r="S66" i="3"/>
  <c r="V64" i="3"/>
  <c r="U64" i="3"/>
  <c r="T64" i="3"/>
  <c r="S64" i="3"/>
  <c r="V63" i="3"/>
  <c r="U63" i="3"/>
  <c r="T63" i="3"/>
  <c r="S63" i="3"/>
  <c r="V59" i="3"/>
  <c r="U59" i="3"/>
  <c r="T59" i="3"/>
  <c r="S59" i="3"/>
  <c r="V58" i="3"/>
  <c r="U58" i="3"/>
  <c r="T58" i="3"/>
  <c r="S58" i="3"/>
  <c r="V57" i="3"/>
  <c r="U57" i="3"/>
  <c r="U61" i="3" s="1"/>
  <c r="T57" i="3"/>
  <c r="S57" i="3"/>
  <c r="V53" i="3"/>
  <c r="V54" i="3" s="1"/>
  <c r="U53" i="3"/>
  <c r="U54" i="3" s="1"/>
  <c r="T53" i="3"/>
  <c r="T54" i="3" s="1"/>
  <c r="S53" i="3"/>
  <c r="S54" i="3" s="1"/>
  <c r="V50" i="3"/>
  <c r="V51" i="3" s="1"/>
  <c r="U50" i="3"/>
  <c r="U51" i="3" s="1"/>
  <c r="T50" i="3"/>
  <c r="T51" i="3" s="1"/>
  <c r="S50" i="3"/>
  <c r="S51" i="3" s="1"/>
  <c r="V46" i="3"/>
  <c r="U46" i="3"/>
  <c r="T46" i="3"/>
  <c r="S46" i="3"/>
  <c r="V44" i="3"/>
  <c r="U44" i="3"/>
  <c r="T44" i="3"/>
  <c r="S44" i="3"/>
  <c r="V39" i="3"/>
  <c r="U39" i="3"/>
  <c r="T39" i="3"/>
  <c r="S39" i="3"/>
  <c r="V38" i="3"/>
  <c r="U38" i="3"/>
  <c r="T38" i="3"/>
  <c r="S38" i="3"/>
  <c r="V37" i="3"/>
  <c r="U37" i="3"/>
  <c r="T37" i="3"/>
  <c r="S37" i="3"/>
  <c r="V36" i="3"/>
  <c r="U36" i="3"/>
  <c r="T36" i="3"/>
  <c r="S36" i="3"/>
  <c r="V33" i="3"/>
  <c r="U33" i="3"/>
  <c r="T33" i="3"/>
  <c r="S33" i="3"/>
  <c r="V26" i="3"/>
  <c r="U26" i="3"/>
  <c r="T26" i="3"/>
  <c r="T40" i="3" s="1"/>
  <c r="S26" i="3"/>
  <c r="V22" i="3"/>
  <c r="U22" i="3"/>
  <c r="T22" i="3"/>
  <c r="S22" i="3"/>
  <c r="V15" i="3"/>
  <c r="U15" i="3"/>
  <c r="T15" i="3"/>
  <c r="S15" i="3"/>
  <c r="R72" i="3"/>
  <c r="Q72" i="3"/>
  <c r="P72" i="3"/>
  <c r="O72" i="3"/>
  <c r="N72" i="3"/>
  <c r="M72" i="3"/>
  <c r="L72" i="3"/>
  <c r="R71" i="3"/>
  <c r="Q71" i="3"/>
  <c r="P71" i="3"/>
  <c r="O71" i="3"/>
  <c r="N71" i="3"/>
  <c r="M71" i="3"/>
  <c r="L71" i="3"/>
  <c r="R70" i="3"/>
  <c r="Q70" i="3"/>
  <c r="P70" i="3"/>
  <c r="O70" i="3"/>
  <c r="N70" i="3"/>
  <c r="M70" i="3"/>
  <c r="L70" i="3"/>
  <c r="R69" i="3"/>
  <c r="Q69" i="3"/>
  <c r="P69" i="3"/>
  <c r="O69" i="3"/>
  <c r="N69" i="3"/>
  <c r="M69" i="3"/>
  <c r="L69" i="3"/>
  <c r="R66" i="3"/>
  <c r="Q66" i="3"/>
  <c r="P66" i="3"/>
  <c r="O66" i="3"/>
  <c r="N66" i="3"/>
  <c r="M66" i="3"/>
  <c r="L66" i="3"/>
  <c r="R64" i="3"/>
  <c r="Q64" i="3"/>
  <c r="P64" i="3"/>
  <c r="O64" i="3"/>
  <c r="N64" i="3"/>
  <c r="M64" i="3"/>
  <c r="L64" i="3"/>
  <c r="R63" i="3"/>
  <c r="Q63" i="3"/>
  <c r="P63" i="3"/>
  <c r="O63" i="3"/>
  <c r="N63" i="3"/>
  <c r="M63" i="3"/>
  <c r="L63" i="3"/>
  <c r="L67" i="3" s="1"/>
  <c r="R59" i="3"/>
  <c r="Q59" i="3"/>
  <c r="P59" i="3"/>
  <c r="O59" i="3"/>
  <c r="N59" i="3"/>
  <c r="M59" i="3"/>
  <c r="L59" i="3"/>
  <c r="R58" i="3"/>
  <c r="Q58" i="3"/>
  <c r="P58" i="3"/>
  <c r="O58" i="3"/>
  <c r="N58" i="3"/>
  <c r="M58" i="3"/>
  <c r="L58" i="3"/>
  <c r="R57" i="3"/>
  <c r="Q57" i="3"/>
  <c r="P57" i="3"/>
  <c r="O57" i="3"/>
  <c r="N57" i="3"/>
  <c r="M57" i="3"/>
  <c r="L57" i="3"/>
  <c r="R54" i="3"/>
  <c r="R53" i="3"/>
  <c r="Q53" i="3"/>
  <c r="Q54" i="3" s="1"/>
  <c r="P53" i="3"/>
  <c r="P54" i="3" s="1"/>
  <c r="O53" i="3"/>
  <c r="O54" i="3" s="1"/>
  <c r="N53" i="3"/>
  <c r="N54" i="3" s="1"/>
  <c r="M53" i="3"/>
  <c r="M54" i="3" s="1"/>
  <c r="L53" i="3"/>
  <c r="L54" i="3" s="1"/>
  <c r="P51" i="3"/>
  <c r="R50" i="3"/>
  <c r="R51" i="3" s="1"/>
  <c r="Q50" i="3"/>
  <c r="Q51" i="3" s="1"/>
  <c r="P50" i="3"/>
  <c r="O50" i="3"/>
  <c r="O51" i="3" s="1"/>
  <c r="N50" i="3"/>
  <c r="N51" i="3" s="1"/>
  <c r="M50" i="3"/>
  <c r="M51" i="3" s="1"/>
  <c r="L50" i="3"/>
  <c r="L51" i="3" s="1"/>
  <c r="R46" i="3"/>
  <c r="Q46" i="3"/>
  <c r="P46" i="3"/>
  <c r="O46" i="3"/>
  <c r="N46" i="3"/>
  <c r="M46" i="3"/>
  <c r="L46" i="3"/>
  <c r="R44" i="3"/>
  <c r="Q44" i="3"/>
  <c r="P44" i="3"/>
  <c r="O44" i="3"/>
  <c r="N44" i="3"/>
  <c r="M44" i="3"/>
  <c r="L44" i="3"/>
  <c r="R39" i="3"/>
  <c r="Q39" i="3"/>
  <c r="P39" i="3"/>
  <c r="O39" i="3"/>
  <c r="N39" i="3"/>
  <c r="M39" i="3"/>
  <c r="L39" i="3"/>
  <c r="R38" i="3"/>
  <c r="Q38" i="3"/>
  <c r="P38" i="3"/>
  <c r="O38" i="3"/>
  <c r="N38" i="3"/>
  <c r="M38" i="3"/>
  <c r="L38" i="3"/>
  <c r="R37" i="3"/>
  <c r="Q37" i="3"/>
  <c r="P37" i="3"/>
  <c r="O37" i="3"/>
  <c r="N37" i="3"/>
  <c r="M37" i="3"/>
  <c r="L37" i="3"/>
  <c r="R36" i="3"/>
  <c r="Q36" i="3"/>
  <c r="P36" i="3"/>
  <c r="O36" i="3"/>
  <c r="N36" i="3"/>
  <c r="M36" i="3"/>
  <c r="L36" i="3"/>
  <c r="R33" i="3"/>
  <c r="Q33" i="3"/>
  <c r="P33" i="3"/>
  <c r="O33" i="3"/>
  <c r="N33" i="3"/>
  <c r="M33" i="3"/>
  <c r="L33" i="3"/>
  <c r="R26" i="3"/>
  <c r="Q26" i="3"/>
  <c r="P26" i="3"/>
  <c r="O26" i="3"/>
  <c r="N26" i="3"/>
  <c r="M26" i="3"/>
  <c r="L26" i="3"/>
  <c r="R22" i="3"/>
  <c r="Q22" i="3"/>
  <c r="P22" i="3"/>
  <c r="O22" i="3"/>
  <c r="N22" i="3"/>
  <c r="M22" i="3"/>
  <c r="L22" i="3"/>
  <c r="R15" i="3"/>
  <c r="Q15" i="3"/>
  <c r="P15" i="3"/>
  <c r="O15" i="3"/>
  <c r="N15" i="3"/>
  <c r="M15" i="3"/>
  <c r="L15" i="3"/>
  <c r="K72" i="3"/>
  <c r="K71" i="3"/>
  <c r="K70" i="3"/>
  <c r="K69" i="3"/>
  <c r="K66" i="3"/>
  <c r="K64" i="3"/>
  <c r="K63" i="3"/>
  <c r="K59" i="3"/>
  <c r="K58" i="3"/>
  <c r="K57" i="3"/>
  <c r="K53" i="3"/>
  <c r="K54" i="3" s="1"/>
  <c r="K50" i="3"/>
  <c r="K51" i="3" s="1"/>
  <c r="K46" i="3"/>
  <c r="K44" i="3"/>
  <c r="K39" i="3"/>
  <c r="K38" i="3"/>
  <c r="K37" i="3"/>
  <c r="K36" i="3"/>
  <c r="K33" i="3"/>
  <c r="K26" i="3"/>
  <c r="K22" i="3"/>
  <c r="K15" i="3"/>
  <c r="J39" i="3"/>
  <c r="I39" i="3"/>
  <c r="H39" i="3"/>
  <c r="J38" i="3"/>
  <c r="I38" i="3"/>
  <c r="H38" i="3"/>
  <c r="J37" i="3"/>
  <c r="I37" i="3"/>
  <c r="H37" i="3"/>
  <c r="J36" i="3"/>
  <c r="I36" i="3"/>
  <c r="H36" i="3"/>
  <c r="J33" i="3"/>
  <c r="I33" i="3"/>
  <c r="H33" i="3"/>
  <c r="J26" i="3"/>
  <c r="I26" i="3"/>
  <c r="H26" i="3"/>
  <c r="J22" i="3"/>
  <c r="I22" i="3"/>
  <c r="H22" i="3"/>
  <c r="F15" i="3"/>
  <c r="G15" i="3"/>
  <c r="H15" i="3"/>
  <c r="I15" i="3"/>
  <c r="J15" i="3"/>
  <c r="J72" i="3"/>
  <c r="I72" i="3"/>
  <c r="H72" i="3"/>
  <c r="G72" i="3"/>
  <c r="F72" i="3"/>
  <c r="J71" i="3"/>
  <c r="I71" i="3"/>
  <c r="H71" i="3"/>
  <c r="G71" i="3"/>
  <c r="F71" i="3"/>
  <c r="J70" i="3"/>
  <c r="I70" i="3"/>
  <c r="H70" i="3"/>
  <c r="G70" i="3"/>
  <c r="F70" i="3"/>
  <c r="J69" i="3"/>
  <c r="I69" i="3"/>
  <c r="H69" i="3"/>
  <c r="G69" i="3"/>
  <c r="F69" i="3"/>
  <c r="J59" i="3"/>
  <c r="I59" i="3"/>
  <c r="H59" i="3"/>
  <c r="G59" i="3"/>
  <c r="F59" i="3"/>
  <c r="J58" i="3"/>
  <c r="I58" i="3"/>
  <c r="H58" i="3"/>
  <c r="G58" i="3"/>
  <c r="F58" i="3"/>
  <c r="J57" i="3"/>
  <c r="I57" i="3"/>
  <c r="H57" i="3"/>
  <c r="G57" i="3"/>
  <c r="F57" i="3"/>
  <c r="G39" i="3"/>
  <c r="F39" i="3"/>
  <c r="G38" i="3"/>
  <c r="F38" i="3"/>
  <c r="G37" i="3"/>
  <c r="F37" i="3"/>
  <c r="G36" i="3"/>
  <c r="F36" i="3"/>
  <c r="G33" i="3"/>
  <c r="F33" i="3"/>
  <c r="G26" i="3"/>
  <c r="F26" i="3"/>
  <c r="G22" i="3"/>
  <c r="F22" i="3"/>
  <c r="E22" i="3"/>
  <c r="E39" i="3"/>
  <c r="E50" i="3"/>
  <c r="E43" i="3"/>
  <c r="F43" i="3" s="1"/>
  <c r="G43" i="3" s="1"/>
  <c r="H43" i="3" s="1"/>
  <c r="I43" i="3" s="1"/>
  <c r="J43" i="3" s="1"/>
  <c r="K43" i="3" s="1"/>
  <c r="L43" i="3" s="1"/>
  <c r="M43" i="3" s="1"/>
  <c r="N43" i="3" s="1"/>
  <c r="O43" i="3" s="1"/>
  <c r="P43" i="3" s="1"/>
  <c r="Q43" i="3" s="1"/>
  <c r="R43" i="3" s="1"/>
  <c r="S43" i="3" s="1"/>
  <c r="T43" i="3" s="1"/>
  <c r="U43" i="3" s="1"/>
  <c r="V43" i="3" s="1"/>
  <c r="E15" i="3"/>
  <c r="J46" i="3"/>
  <c r="I46" i="3"/>
  <c r="H46" i="3"/>
  <c r="G46" i="3"/>
  <c r="F46" i="3"/>
  <c r="E46" i="3"/>
  <c r="J53" i="3"/>
  <c r="I53" i="3"/>
  <c r="H53" i="3"/>
  <c r="H54" i="3" s="1"/>
  <c r="G53" i="3"/>
  <c r="F53" i="3"/>
  <c r="J66" i="3"/>
  <c r="I66" i="3"/>
  <c r="H66" i="3"/>
  <c r="G66" i="3"/>
  <c r="F66" i="3"/>
  <c r="J63" i="3"/>
  <c r="I63" i="3"/>
  <c r="H63" i="3"/>
  <c r="G63" i="3"/>
  <c r="F63" i="3"/>
  <c r="J44" i="3"/>
  <c r="I44" i="3"/>
  <c r="H44" i="3"/>
  <c r="G44" i="3"/>
  <c r="F44" i="3"/>
  <c r="E44" i="3"/>
  <c r="F42" i="3"/>
  <c r="G42" i="3" s="1"/>
  <c r="H42" i="3" s="1"/>
  <c r="J22" i="4"/>
  <c r="E72" i="5"/>
  <c r="F72" i="5" s="1"/>
  <c r="E71" i="5"/>
  <c r="F71" i="5" s="1"/>
  <c r="E67" i="5"/>
  <c r="F67" i="5" s="1"/>
  <c r="E68" i="5"/>
  <c r="F68" i="5" s="1"/>
  <c r="E117" i="5"/>
  <c r="F117" i="5" s="1"/>
  <c r="E116" i="5"/>
  <c r="F116" i="5" s="1"/>
  <c r="E138" i="5"/>
  <c r="F138" i="5" s="1"/>
  <c r="E114" i="5"/>
  <c r="F114" i="5" s="1"/>
  <c r="E113" i="5"/>
  <c r="F113" i="5" s="1"/>
  <c r="C79" i="5"/>
  <c r="E79" i="5" s="1"/>
  <c r="F79" i="5" s="1"/>
  <c r="E80" i="5"/>
  <c r="F80" i="5" s="1"/>
  <c r="E81" i="5"/>
  <c r="F81" i="5" s="1"/>
  <c r="E82" i="5"/>
  <c r="F82" i="5" s="1"/>
  <c r="E48" i="5"/>
  <c r="F48" i="5" s="1"/>
  <c r="E47" i="5"/>
  <c r="F47" i="5" s="1"/>
  <c r="E46" i="5"/>
  <c r="F46" i="5" s="1"/>
  <c r="E166" i="5"/>
  <c r="F166" i="5" s="1"/>
  <c r="E165" i="5"/>
  <c r="F165" i="5" s="1"/>
  <c r="E164" i="5"/>
  <c r="F164" i="5" s="1"/>
  <c r="E163" i="5"/>
  <c r="F163" i="5" s="1"/>
  <c r="E162" i="5"/>
  <c r="F162" i="5" s="1"/>
  <c r="E161" i="5"/>
  <c r="F161" i="5" s="1"/>
  <c r="E160" i="5"/>
  <c r="F160" i="5" s="1"/>
  <c r="E159" i="5"/>
  <c r="F159" i="5" s="1"/>
  <c r="E157" i="5"/>
  <c r="F157" i="5" s="1"/>
  <c r="E156" i="5"/>
  <c r="F156" i="5" s="1"/>
  <c r="E155" i="5"/>
  <c r="F155" i="5" s="1"/>
  <c r="E154" i="5"/>
  <c r="F154" i="5" s="1"/>
  <c r="E153" i="5"/>
  <c r="F153" i="5" s="1"/>
  <c r="E152" i="5"/>
  <c r="F152" i="5" s="1"/>
  <c r="E151" i="5"/>
  <c r="F151" i="5" s="1"/>
  <c r="E150" i="5"/>
  <c r="F150" i="5" s="1"/>
  <c r="E149" i="5"/>
  <c r="F149" i="5" s="1"/>
  <c r="E148" i="5"/>
  <c r="F148" i="5" s="1"/>
  <c r="E147" i="5"/>
  <c r="F147" i="5" s="1"/>
  <c r="E146" i="5"/>
  <c r="F146" i="5" s="1"/>
  <c r="E145" i="5"/>
  <c r="F145" i="5" s="1"/>
  <c r="E144" i="5"/>
  <c r="F144" i="5" s="1"/>
  <c r="E143" i="5"/>
  <c r="F143" i="5" s="1"/>
  <c r="E142" i="5"/>
  <c r="F142" i="5" s="1"/>
  <c r="E141" i="5"/>
  <c r="F141" i="5" s="1"/>
  <c r="E140" i="5"/>
  <c r="F140" i="5" s="1"/>
  <c r="E137" i="5"/>
  <c r="F137" i="5" s="1"/>
  <c r="E136" i="5"/>
  <c r="F136" i="5" s="1"/>
  <c r="E135" i="5"/>
  <c r="F135" i="5" s="1"/>
  <c r="E134" i="5"/>
  <c r="F134" i="5" s="1"/>
  <c r="E133" i="5"/>
  <c r="F133" i="5" s="1"/>
  <c r="E132" i="5"/>
  <c r="F132" i="5" s="1"/>
  <c r="E131" i="5"/>
  <c r="F131" i="5" s="1"/>
  <c r="E130" i="5"/>
  <c r="F130" i="5" s="1"/>
  <c r="E129" i="5"/>
  <c r="F129" i="5" s="1"/>
  <c r="E128" i="5"/>
  <c r="F128" i="5" s="1"/>
  <c r="E127" i="5"/>
  <c r="F127" i="5" s="1"/>
  <c r="E126" i="5"/>
  <c r="F126" i="5" s="1"/>
  <c r="E125" i="5"/>
  <c r="F125" i="5" s="1"/>
  <c r="E124" i="5"/>
  <c r="F124" i="5" s="1"/>
  <c r="E123" i="5"/>
  <c r="F123" i="5" s="1"/>
  <c r="E122" i="5"/>
  <c r="F122" i="5" s="1"/>
  <c r="E121" i="5"/>
  <c r="F121" i="5" s="1"/>
  <c r="E139" i="5"/>
  <c r="F139" i="5" s="1"/>
  <c r="E120" i="5"/>
  <c r="F120" i="5" s="1"/>
  <c r="E119" i="5"/>
  <c r="F119" i="5" s="1"/>
  <c r="E115" i="5"/>
  <c r="F115" i="5" s="1"/>
  <c r="E112" i="5"/>
  <c r="F112" i="5" s="1"/>
  <c r="E111" i="5"/>
  <c r="F111" i="5" s="1"/>
  <c r="E110" i="5"/>
  <c r="F110" i="5" s="1"/>
  <c r="E109" i="5"/>
  <c r="F109" i="5" s="1"/>
  <c r="E108" i="5"/>
  <c r="F108" i="5" s="1"/>
  <c r="E107" i="5"/>
  <c r="F107" i="5" s="1"/>
  <c r="E106" i="5"/>
  <c r="F106" i="5" s="1"/>
  <c r="E118" i="5"/>
  <c r="F118" i="5" s="1"/>
  <c r="E105" i="5"/>
  <c r="F105" i="5" s="1"/>
  <c r="E104" i="5"/>
  <c r="F104" i="5" s="1"/>
  <c r="E103" i="5"/>
  <c r="F103" i="5" s="1"/>
  <c r="E102" i="5"/>
  <c r="F102" i="5" s="1"/>
  <c r="E101" i="5"/>
  <c r="F101" i="5" s="1"/>
  <c r="E100" i="5"/>
  <c r="F100" i="5" s="1"/>
  <c r="E99" i="5"/>
  <c r="F99" i="5" s="1"/>
  <c r="E98" i="5"/>
  <c r="F98" i="5" s="1"/>
  <c r="E97" i="5"/>
  <c r="F97" i="5" s="1"/>
  <c r="E96" i="5"/>
  <c r="F96" i="5" s="1"/>
  <c r="E95" i="5"/>
  <c r="F95" i="5" s="1"/>
  <c r="E94" i="5"/>
  <c r="F94" i="5" s="1"/>
  <c r="E93" i="5"/>
  <c r="F93" i="5" s="1"/>
  <c r="E92" i="5"/>
  <c r="F92" i="5" s="1"/>
  <c r="E91" i="5"/>
  <c r="F91" i="5" s="1"/>
  <c r="E90" i="5"/>
  <c r="F90" i="5" s="1"/>
  <c r="E89" i="5"/>
  <c r="F89" i="5" s="1"/>
  <c r="E88" i="5"/>
  <c r="F88" i="5" s="1"/>
  <c r="E87" i="5"/>
  <c r="F87" i="5" s="1"/>
  <c r="E86" i="5"/>
  <c r="F86" i="5" s="1"/>
  <c r="E85" i="5"/>
  <c r="F85" i="5" s="1"/>
  <c r="E84" i="5"/>
  <c r="F84" i="5" s="1"/>
  <c r="E83" i="5"/>
  <c r="F83" i="5" s="1"/>
  <c r="E78" i="5"/>
  <c r="F78" i="5" s="1"/>
  <c r="E77" i="5"/>
  <c r="F77" i="5" s="1"/>
  <c r="E76" i="5"/>
  <c r="F76" i="5" s="1"/>
  <c r="E75" i="5"/>
  <c r="F75" i="5" s="1"/>
  <c r="E74" i="5"/>
  <c r="F74" i="5" s="1"/>
  <c r="E73" i="5"/>
  <c r="F73" i="5" s="1"/>
  <c r="E70" i="5"/>
  <c r="F70" i="5" s="1"/>
  <c r="E69" i="5"/>
  <c r="F69" i="5" s="1"/>
  <c r="E66" i="5"/>
  <c r="F66" i="5" s="1"/>
  <c r="E65" i="5"/>
  <c r="F65" i="5" s="1"/>
  <c r="E64" i="5"/>
  <c r="F64" i="5" s="1"/>
  <c r="E63" i="5"/>
  <c r="F63" i="5" s="1"/>
  <c r="E62" i="5"/>
  <c r="F62" i="5" s="1"/>
  <c r="E61" i="5"/>
  <c r="F61" i="5" s="1"/>
  <c r="E60" i="5"/>
  <c r="F60" i="5" s="1"/>
  <c r="E59" i="5"/>
  <c r="F59" i="5" s="1"/>
  <c r="E58" i="5"/>
  <c r="F58" i="5" s="1"/>
  <c r="E57" i="5"/>
  <c r="F57" i="5" s="1"/>
  <c r="E56" i="5"/>
  <c r="F56" i="5" s="1"/>
  <c r="E55" i="5"/>
  <c r="F55" i="5" s="1"/>
  <c r="E54" i="5"/>
  <c r="F54" i="5" s="1"/>
  <c r="E53" i="5"/>
  <c r="F53" i="5" s="1"/>
  <c r="E52" i="5"/>
  <c r="F52" i="5" s="1"/>
  <c r="E51" i="5"/>
  <c r="F51" i="5" s="1"/>
  <c r="E50" i="5"/>
  <c r="F50" i="5" s="1"/>
  <c r="E49" i="5"/>
  <c r="F49" i="5" s="1"/>
  <c r="E45" i="5"/>
  <c r="F45" i="5" s="1"/>
  <c r="E44" i="5"/>
  <c r="F44" i="5" s="1"/>
  <c r="E43" i="5"/>
  <c r="F43" i="5" s="1"/>
  <c r="E42" i="5"/>
  <c r="F42" i="5" s="1"/>
  <c r="E41" i="5"/>
  <c r="F41" i="5" s="1"/>
  <c r="E40" i="5"/>
  <c r="F40" i="5" s="1"/>
  <c r="E39" i="5"/>
  <c r="F39" i="5" s="1"/>
  <c r="E38" i="5"/>
  <c r="F38" i="5" s="1"/>
  <c r="E37" i="5"/>
  <c r="F37" i="5" s="1"/>
  <c r="E36" i="5"/>
  <c r="F36" i="5" s="1"/>
  <c r="E35" i="5"/>
  <c r="F35" i="5" s="1"/>
  <c r="E34" i="5"/>
  <c r="F34" i="5" s="1"/>
  <c r="E33" i="5"/>
  <c r="F33" i="5" s="1"/>
  <c r="E32" i="5"/>
  <c r="F32" i="5" s="1"/>
  <c r="E31" i="5"/>
  <c r="F31" i="5" s="1"/>
  <c r="E30" i="5"/>
  <c r="F30" i="5" s="1"/>
  <c r="E29" i="5"/>
  <c r="F29" i="5" s="1"/>
  <c r="E28" i="5"/>
  <c r="F28" i="5" s="1"/>
  <c r="E27" i="5"/>
  <c r="F27" i="5" s="1"/>
  <c r="E26" i="5"/>
  <c r="F26" i="5" s="1"/>
  <c r="E25" i="5"/>
  <c r="F25" i="5" s="1"/>
  <c r="E24" i="5"/>
  <c r="F24" i="5" s="1"/>
  <c r="E23" i="5"/>
  <c r="F23" i="5" s="1"/>
  <c r="E22" i="5"/>
  <c r="F22" i="5" s="1"/>
  <c r="E21" i="5"/>
  <c r="F21" i="5" s="1"/>
  <c r="E20" i="5"/>
  <c r="F20" i="5" s="1"/>
  <c r="E19" i="5"/>
  <c r="F19" i="5" s="1"/>
  <c r="E18" i="5"/>
  <c r="F18" i="5" s="1"/>
  <c r="E17" i="5"/>
  <c r="F17" i="5" s="1"/>
  <c r="E16" i="5"/>
  <c r="F16" i="5" s="1"/>
  <c r="E15" i="5"/>
  <c r="F15" i="5" s="1"/>
  <c r="E14" i="5"/>
  <c r="F14" i="5" s="1"/>
  <c r="E13" i="5"/>
  <c r="F13" i="5" s="1"/>
  <c r="E12" i="5"/>
  <c r="F12" i="5" s="1"/>
  <c r="E11" i="5"/>
  <c r="F11" i="5" s="1"/>
  <c r="E10" i="5"/>
  <c r="F10" i="5" s="1"/>
  <c r="E9" i="5"/>
  <c r="F9" i="5" s="1"/>
  <c r="E8" i="5"/>
  <c r="F8" i="5" s="1"/>
  <c r="E7" i="5"/>
  <c r="F7" i="5" s="1"/>
  <c r="E6" i="5"/>
  <c r="F6" i="5" s="1"/>
  <c r="E5" i="5"/>
  <c r="F5" i="5" s="1"/>
  <c r="E4" i="5"/>
  <c r="F4" i="5" s="1"/>
  <c r="E3" i="5"/>
  <c r="F3" i="5" s="1"/>
  <c r="E2" i="5"/>
  <c r="E14" i="3"/>
  <c r="F14" i="3" s="1"/>
  <c r="G14" i="3" s="1"/>
  <c r="H14" i="3" s="1"/>
  <c r="I14" i="3" s="1"/>
  <c r="J14" i="3" s="1"/>
  <c r="K14" i="3" s="1"/>
  <c r="L14" i="3" s="1"/>
  <c r="M14" i="3" s="1"/>
  <c r="N14" i="3" s="1"/>
  <c r="H64" i="3"/>
  <c r="H50" i="3"/>
  <c r="H51" i="3" s="1"/>
  <c r="K61" i="3" l="1"/>
  <c r="U74" i="3"/>
  <c r="S61" i="3"/>
  <c r="S74" i="3"/>
  <c r="N40" i="3"/>
  <c r="T61" i="3"/>
  <c r="N61" i="3"/>
  <c r="L74" i="3"/>
  <c r="V74" i="3"/>
  <c r="M40" i="3"/>
  <c r="M61" i="3"/>
  <c r="P67" i="3"/>
  <c r="K74" i="3"/>
  <c r="V40" i="3"/>
  <c r="M16" i="3"/>
  <c r="M17" i="3" s="1"/>
  <c r="O61" i="3"/>
  <c r="R67" i="3"/>
  <c r="M74" i="3"/>
  <c r="O40" i="3"/>
  <c r="P40" i="3"/>
  <c r="P61" i="3"/>
  <c r="Q61" i="3"/>
  <c r="N74" i="3"/>
  <c r="O74" i="3"/>
  <c r="Q40" i="3"/>
  <c r="R61" i="3"/>
  <c r="O67" i="3"/>
  <c r="P74" i="3"/>
  <c r="Q74" i="3"/>
  <c r="S67" i="3"/>
  <c r="R40" i="3"/>
  <c r="N67" i="3"/>
  <c r="U40" i="3"/>
  <c r="T67" i="3"/>
  <c r="L61" i="3"/>
  <c r="R74" i="3"/>
  <c r="U67" i="3"/>
  <c r="K40" i="3"/>
  <c r="K67" i="3"/>
  <c r="L40" i="3"/>
  <c r="S40" i="3"/>
  <c r="V61" i="3"/>
  <c r="L16" i="3"/>
  <c r="L17" i="3" s="1"/>
  <c r="V67" i="3"/>
  <c r="Q67" i="3"/>
  <c r="M67" i="3"/>
  <c r="O14" i="3"/>
  <c r="N16" i="3"/>
  <c r="N17" i="3" s="1"/>
  <c r="K16" i="3"/>
  <c r="K17" i="3" s="1"/>
  <c r="E16" i="3"/>
  <c r="H67" i="3"/>
  <c r="H61" i="3"/>
  <c r="I42" i="3"/>
  <c r="J42" i="3" s="1"/>
  <c r="K42" i="3" s="1"/>
  <c r="L42" i="3" s="1"/>
  <c r="M42" i="3" s="1"/>
  <c r="N42" i="3" s="1"/>
  <c r="H48" i="3"/>
  <c r="G79" i="5"/>
  <c r="H111" i="5"/>
  <c r="H74" i="3"/>
  <c r="E70" i="3"/>
  <c r="E72" i="3"/>
  <c r="L48" i="3" l="1"/>
  <c r="L75" i="3" s="1"/>
  <c r="L76" i="3" s="1"/>
  <c r="L77" i="3" s="1"/>
  <c r="M48" i="3"/>
  <c r="M75" i="3" s="1"/>
  <c r="M76" i="3" s="1"/>
  <c r="M81" i="3" s="1"/>
  <c r="M82" i="3" s="1"/>
  <c r="K48" i="3"/>
  <c r="K75" i="3" s="1"/>
  <c r="K76" i="3" s="1"/>
  <c r="K77" i="3" s="1"/>
  <c r="N48" i="3"/>
  <c r="N75" i="3" s="1"/>
  <c r="N76" i="3" s="1"/>
  <c r="O42" i="3"/>
  <c r="P14" i="3"/>
  <c r="O16" i="3"/>
  <c r="O17" i="3" s="1"/>
  <c r="C158" i="5"/>
  <c r="E158" i="5" s="1"/>
  <c r="F158" i="5" s="1"/>
  <c r="F2" i="5"/>
  <c r="K81" i="3" l="1"/>
  <c r="K82" i="3" s="1"/>
  <c r="L81" i="3"/>
  <c r="L82" i="3" s="1"/>
  <c r="M77" i="3"/>
  <c r="N77" i="3"/>
  <c r="N81" i="3"/>
  <c r="N82" i="3" s="1"/>
  <c r="O48" i="3"/>
  <c r="O75" i="3" s="1"/>
  <c r="O76" i="3" s="1"/>
  <c r="P42" i="3"/>
  <c r="Q14" i="3"/>
  <c r="P16" i="3"/>
  <c r="P17" i="3" s="1"/>
  <c r="G43" i="5"/>
  <c r="H166" i="5"/>
  <c r="H20" i="5"/>
  <c r="H135" i="5"/>
  <c r="H78" i="5"/>
  <c r="H42" i="5"/>
  <c r="G21" i="5"/>
  <c r="G112" i="5"/>
  <c r="G2" i="5"/>
  <c r="O81" i="3" l="1"/>
  <c r="O82" i="3" s="1"/>
  <c r="O77" i="3"/>
  <c r="R14" i="3"/>
  <c r="Q16" i="3"/>
  <c r="Q17" i="3" s="1"/>
  <c r="P48" i="3"/>
  <c r="P75" i="3" s="1"/>
  <c r="P76" i="3" s="1"/>
  <c r="Q42" i="3"/>
  <c r="G136" i="5"/>
  <c r="G167" i="5" s="1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5" i="4"/>
  <c r="E71" i="3"/>
  <c r="R16" i="3" l="1"/>
  <c r="R17" i="3" s="1"/>
  <c r="S14" i="3"/>
  <c r="P81" i="3"/>
  <c r="P82" i="3" s="1"/>
  <c r="P77" i="3"/>
  <c r="Q48" i="3"/>
  <c r="Q75" i="3" s="1"/>
  <c r="Q76" i="3" s="1"/>
  <c r="R42" i="3"/>
  <c r="E22" i="4"/>
  <c r="F22" i="4"/>
  <c r="T14" i="3" l="1"/>
  <c r="S16" i="3"/>
  <c r="S17" i="3" s="1"/>
  <c r="R48" i="3"/>
  <c r="R75" i="3" s="1"/>
  <c r="R76" i="3" s="1"/>
  <c r="R77" i="3" s="1"/>
  <c r="S42" i="3"/>
  <c r="Q81" i="3"/>
  <c r="Q82" i="3" s="1"/>
  <c r="Q77" i="3"/>
  <c r="J74" i="3"/>
  <c r="I74" i="3"/>
  <c r="G74" i="3"/>
  <c r="F74" i="3"/>
  <c r="E69" i="3"/>
  <c r="E74" i="3" s="1"/>
  <c r="J64" i="3"/>
  <c r="I64" i="3"/>
  <c r="G64" i="3"/>
  <c r="F64" i="3"/>
  <c r="E64" i="3"/>
  <c r="E59" i="3"/>
  <c r="E58" i="3"/>
  <c r="E57" i="3"/>
  <c r="J54" i="3"/>
  <c r="I54" i="3"/>
  <c r="U14" i="3" l="1"/>
  <c r="T16" i="3"/>
  <c r="T17" i="3" s="1"/>
  <c r="R81" i="3"/>
  <c r="R82" i="3" s="1"/>
  <c r="S48" i="3"/>
  <c r="S75" i="3" s="1"/>
  <c r="S76" i="3" s="1"/>
  <c r="T42" i="3"/>
  <c r="H40" i="3"/>
  <c r="H75" i="3" s="1"/>
  <c r="G67" i="3"/>
  <c r="F67" i="3"/>
  <c r="E67" i="3"/>
  <c r="I67" i="3"/>
  <c r="J67" i="3"/>
  <c r="I61" i="3"/>
  <c r="J61" i="3"/>
  <c r="V14" i="3" l="1"/>
  <c r="V16" i="3" s="1"/>
  <c r="V17" i="3" s="1"/>
  <c r="U16" i="3"/>
  <c r="U17" i="3" s="1"/>
  <c r="S81" i="3"/>
  <c r="S82" i="3" s="1"/>
  <c r="S77" i="3"/>
  <c r="U42" i="3"/>
  <c r="T48" i="3"/>
  <c r="T75" i="3" s="1"/>
  <c r="T76" i="3" s="1"/>
  <c r="J50" i="3"/>
  <c r="J51" i="3" s="1"/>
  <c r="I50" i="3"/>
  <c r="I51" i="3" s="1"/>
  <c r="G50" i="3"/>
  <c r="G51" i="3" s="1"/>
  <c r="F50" i="3"/>
  <c r="F51" i="3" s="1"/>
  <c r="J48" i="3"/>
  <c r="I48" i="3"/>
  <c r="E26" i="3"/>
  <c r="E33" i="3"/>
  <c r="E36" i="3"/>
  <c r="E37" i="3"/>
  <c r="E38" i="3"/>
  <c r="T77" i="3" l="1"/>
  <c r="T81" i="3"/>
  <c r="T82" i="3" s="1"/>
  <c r="V42" i="3"/>
  <c r="V48" i="3" s="1"/>
  <c r="V75" i="3" s="1"/>
  <c r="V76" i="3" s="1"/>
  <c r="U48" i="3"/>
  <c r="U75" i="3" s="1"/>
  <c r="U76" i="3" s="1"/>
  <c r="J40" i="3"/>
  <c r="E40" i="3"/>
  <c r="F40" i="3"/>
  <c r="G40" i="3"/>
  <c r="D40" i="3"/>
  <c r="I40" i="3"/>
  <c r="U81" i="3" l="1"/>
  <c r="U82" i="3" s="1"/>
  <c r="U77" i="3"/>
  <c r="V77" i="3"/>
  <c r="V81" i="3"/>
  <c r="V82" i="3" s="1"/>
  <c r="J75" i="3"/>
  <c r="I75" i="3"/>
  <c r="G54" i="3" l="1"/>
  <c r="F54" i="3"/>
  <c r="E54" i="3"/>
  <c r="E51" i="3"/>
  <c r="E48" i="3" l="1"/>
  <c r="F61" i="3"/>
  <c r="G61" i="3"/>
  <c r="D48" i="3"/>
  <c r="F48" i="3"/>
  <c r="G48" i="3"/>
  <c r="E61" i="3"/>
  <c r="G75" i="3" l="1"/>
  <c r="F75" i="3"/>
  <c r="E75" i="3"/>
  <c r="E17" i="3" l="1"/>
  <c r="E76" i="3" s="1"/>
  <c r="E81" i="3" s="1"/>
  <c r="E82" i="3" l="1"/>
  <c r="E77" i="3"/>
  <c r="F16" i="3" l="1"/>
  <c r="G16" i="3"/>
  <c r="I16" i="3"/>
  <c r="I17" i="3" s="1"/>
  <c r="J16" i="3"/>
  <c r="H16" i="3"/>
  <c r="H17" i="3" s="1"/>
  <c r="H76" i="3" s="1"/>
  <c r="G17" i="3" l="1"/>
  <c r="I76" i="3"/>
  <c r="H81" i="3"/>
  <c r="H82" i="3" s="1"/>
  <c r="H77" i="3"/>
  <c r="G76" i="3"/>
  <c r="J17" i="3"/>
  <c r="F17" i="3"/>
  <c r="F76" i="3" l="1"/>
  <c r="I77" i="3"/>
  <c r="I81" i="3"/>
  <c r="I82" i="3" s="1"/>
  <c r="J76" i="3"/>
  <c r="G77" i="3"/>
  <c r="G81" i="3"/>
  <c r="G82" i="3" s="1"/>
  <c r="F81" i="3" l="1"/>
  <c r="F77" i="3"/>
  <c r="J81" i="3"/>
  <c r="J82" i="3" s="1"/>
  <c r="J77" i="3"/>
  <c r="F82" i="3" l="1"/>
</calcChain>
</file>

<file path=xl/sharedStrings.xml><?xml version="1.0" encoding="utf-8"?>
<sst xmlns="http://schemas.openxmlformats.org/spreadsheetml/2006/main" count="317" uniqueCount="125">
  <si>
    <t>No. of Shifts</t>
  </si>
  <si>
    <t>Particulars</t>
  </si>
  <si>
    <t xml:space="preserve">Selling Price </t>
  </si>
  <si>
    <t>Raw Materials Used</t>
  </si>
  <si>
    <t>Quantity</t>
  </si>
  <si>
    <t>Cost per Unit</t>
  </si>
  <si>
    <t xml:space="preserve">COGS </t>
  </si>
  <si>
    <t>COGS</t>
  </si>
  <si>
    <t>Gross Profit</t>
  </si>
  <si>
    <t>GP Margin</t>
  </si>
  <si>
    <t>Wages</t>
  </si>
  <si>
    <t>Desgination</t>
  </si>
  <si>
    <t>No of Employees</t>
  </si>
  <si>
    <t>Monthly Salary</t>
  </si>
  <si>
    <t>SALARIES</t>
  </si>
  <si>
    <t>Land Lease</t>
  </si>
  <si>
    <t>ACCOUNTANT</t>
  </si>
  <si>
    <t>Other Overheads</t>
  </si>
  <si>
    <t>Salaries</t>
  </si>
  <si>
    <t>Monthly Wages</t>
  </si>
  <si>
    <t>WAGES</t>
  </si>
  <si>
    <t>HELPER</t>
  </si>
  <si>
    <t>Area</t>
  </si>
  <si>
    <t>Rate</t>
  </si>
  <si>
    <t>LAND LEASE</t>
  </si>
  <si>
    <t>Cost</t>
  </si>
  <si>
    <t>MACHINERY RENTAL / MAINTENANCE</t>
  </si>
  <si>
    <t>Machinery Rental / Maintenance</t>
  </si>
  <si>
    <t>Petty Cash</t>
  </si>
  <si>
    <t>PETTY CASH</t>
  </si>
  <si>
    <t>Refreshements</t>
  </si>
  <si>
    <t>Printing &amp; Stationery</t>
  </si>
  <si>
    <t>Miscellaneous Expenses</t>
  </si>
  <si>
    <t>Utilities</t>
  </si>
  <si>
    <t>UTILITIES</t>
  </si>
  <si>
    <t>Internet &amp; Telephone</t>
  </si>
  <si>
    <t>Utilities - Internet, Water &amp; Telephone</t>
  </si>
  <si>
    <t>TRADE LICENSES</t>
  </si>
  <si>
    <t>CTO</t>
  </si>
  <si>
    <t>CEO</t>
  </si>
  <si>
    <t>COO</t>
  </si>
  <si>
    <t>PRODUCTION MANAGER</t>
  </si>
  <si>
    <t>R&amp;D MANAGER</t>
  </si>
  <si>
    <t>QC MANAGER</t>
  </si>
  <si>
    <t>SALES MANAGER</t>
  </si>
  <si>
    <t>SALES &amp; BUSINESS DEVELOPMENT MANAGER</t>
  </si>
  <si>
    <t>LOGISTIC MANAGER</t>
  </si>
  <si>
    <t>EXECUTIVE OFFICE MANAGER</t>
  </si>
  <si>
    <t>PROUDCTION SUPERVISOR</t>
  </si>
  <si>
    <t>MAINTENANCE SUPERVISOR</t>
  </si>
  <si>
    <t>SECURITY GUARD</t>
  </si>
  <si>
    <t>OFFICE BOY</t>
  </si>
  <si>
    <t>PUBLIC RELATIONSHIP MANAGER</t>
  </si>
  <si>
    <t>MARKETING MANAGER</t>
  </si>
  <si>
    <t>Factory Rent</t>
  </si>
  <si>
    <t>LABOURS FOR PRODUCTION</t>
  </si>
  <si>
    <t>400mbps Line</t>
  </si>
  <si>
    <t>DEWA</t>
  </si>
  <si>
    <t>Staff telephone bills</t>
  </si>
  <si>
    <t>Trade license cost</t>
  </si>
  <si>
    <t>Other Yearly license cost to be added</t>
  </si>
  <si>
    <t>Casual labour's for cleaning</t>
  </si>
  <si>
    <t>Lab consumables</t>
  </si>
  <si>
    <t>Total</t>
  </si>
  <si>
    <t>OTHER EMPLOYEE BENEFITS</t>
  </si>
  <si>
    <t>PER YEAR</t>
  </si>
  <si>
    <t>Gratuity</t>
  </si>
  <si>
    <t>1st year</t>
  </si>
  <si>
    <t>Basic salary</t>
  </si>
  <si>
    <t>Flight Ticket</t>
  </si>
  <si>
    <t>Group Medical insurance</t>
  </si>
  <si>
    <t>Visa cost per Year</t>
  </si>
  <si>
    <t>for 2022</t>
  </si>
  <si>
    <t>Courier charges- DHL</t>
  </si>
  <si>
    <t>Rent for staff accomodation</t>
  </si>
  <si>
    <t>Other Administrative overheads</t>
  </si>
  <si>
    <t>Bank Chareges</t>
  </si>
  <si>
    <t>for 6 months</t>
  </si>
  <si>
    <t>Lega &amp; Professiona charges</t>
  </si>
  <si>
    <t>Financing cost</t>
  </si>
  <si>
    <t>Monthly salary</t>
  </si>
  <si>
    <t>Designation</t>
  </si>
  <si>
    <t>Sales( Specify the projected Value)</t>
  </si>
  <si>
    <t>S.No</t>
  </si>
  <si>
    <t xml:space="preserve">Month </t>
  </si>
  <si>
    <t>Rate (USD)</t>
  </si>
  <si>
    <t>Qty in Mts or Uom</t>
  </si>
  <si>
    <t>Expected Revenue $</t>
  </si>
  <si>
    <t>Expected Revenue AED</t>
  </si>
  <si>
    <t>Monthly Revenue</t>
  </si>
  <si>
    <t>July</t>
  </si>
  <si>
    <t>August</t>
  </si>
  <si>
    <t>September</t>
  </si>
  <si>
    <t>October</t>
  </si>
  <si>
    <t>November</t>
  </si>
  <si>
    <t>December</t>
  </si>
  <si>
    <t>Total Expected cost of purchases</t>
  </si>
  <si>
    <t xml:space="preserve">October </t>
  </si>
  <si>
    <t>Packing cost</t>
  </si>
  <si>
    <t>Fork lift</t>
  </si>
  <si>
    <t>Freight &amp; Handling charges</t>
  </si>
  <si>
    <t>Marketting &amp; Travelling Expenses</t>
  </si>
  <si>
    <t>Advertisement( Website &amp; others )</t>
  </si>
  <si>
    <t>TOTAL OVERHEADS</t>
  </si>
  <si>
    <t>Net Profit Before Depreciation &amp; Finance Cost</t>
  </si>
  <si>
    <t>% of Net profit before Depreciation &amp; Finance cost</t>
  </si>
  <si>
    <t>Net Profit after Depreciation &amp; Finance Cost</t>
  </si>
  <si>
    <t>% of Net profit after Depreciation &amp; Finance cost</t>
  </si>
  <si>
    <t>COGS - As per the workings attached</t>
  </si>
  <si>
    <t>MARKETING MANAGER - Freelance</t>
  </si>
  <si>
    <t>CEO - will be replaced with operating company</t>
  </si>
  <si>
    <t>COO - will be replaced with operating company</t>
  </si>
  <si>
    <t>CTO - will be replaced with operating company</t>
  </si>
  <si>
    <t>QC MANAGER - QC supervisor</t>
  </si>
  <si>
    <t>PROUDCTION SUPERVISOR - not required</t>
  </si>
  <si>
    <t>PUBLIC RELATIONSHIP MANAGER - not required</t>
  </si>
  <si>
    <t>Production Projections</t>
  </si>
  <si>
    <t>2 Shifts</t>
  </si>
  <si>
    <t>20 hours</t>
  </si>
  <si>
    <t>400 Drums/day</t>
  </si>
  <si>
    <t>2400 Tons/Month</t>
  </si>
  <si>
    <t>Utilization</t>
  </si>
  <si>
    <t>Maximum Production Capacity per month per value</t>
  </si>
  <si>
    <t>Avg Price per drum : $380/drum</t>
  </si>
  <si>
    <t>Depreciation of investment over 25-years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</si>
</sst>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-* #,##0.00_-;\-* #,##0.00_-;_-* &quot;-&quot;??_-;_-@_-"/>
    <numFmt numFmtId="164" formatCode="_(* #,##0.00_);_(* \(#,##0.00\);_(* &quot;-&quot;??_);_(@_)"/>
    <numFmt numFmtId="165" formatCode="_(&quot;AED&quot;* #,##0.00_);_(&quot;AED&quot;* \(#,##0.00\);_(&quot;AED&quot;* &quot;-&quot;??_);_(@_)"/>
    <numFmt numFmtId="166" formatCode="0[$ Tons]"/>
    <numFmt numFmtId="167" formatCode="0[$ Shift]"/>
    <numFmt numFmtId="168" formatCode="0[$ Litres]"/>
    <numFmt numFmtId="169" formatCode="_(* #,##0_);_(* \(#,##0\);_(* &quot;-&quot;??_);_(@_)"/>
    <numFmt numFmtId="170" formatCode="_([$AED]\ * #,##0_);_([$AED]\ * \(#,##0\);_([$AED]\ * &quot;-&quot;_);_(@_)"/>
    <numFmt numFmtId="171" formatCode="_([$AED]\ * #,##0.00_);_([$AED]\ * \(#,##0.00\);_([$AED]\ * &quot;-&quot;_);_(@_)"/>
    <numFmt numFmtId="172" formatCode="0\ [$ Month]"/>
    <numFmt numFmtId="173" formatCode="#,##0\ &quot;Sq.mtr&quot;"/>
    <numFmt numFmtId="174" formatCode="_-[$$-409]* #,##0.00_ ;_-[$$-409]* \-#,##0.00\ ;_-[$$-409]* &quot;-&quot;??_ ;_-@_ "/>
    <numFmt numFmtId="175" formatCode="_-[$AED-4C09]* #,##0.00_-;\-[$AED-4C09]* #,##0.00_-;_-[$AED-4C09]* &quot;-&quot;??_-;_-@_-"/>
    <numFmt numFmtId="176" formatCode="_-&quot;AED&quot;* #,##0.00_-;\-&quot;AED&quot;* #,##0.00_-;_-&quot;AED&quot;* &quot;-&quot;??_-;_-@_-"/>
    <numFmt numFmtId="177" formatCode="&quot;$&quot;#,##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B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double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2" tint="-0.499984740745262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 applyFont="0" applyFill="0" applyBorder="0" applyAlignment="0" applyProtection="0"/>
  </cellStyleXfs>
  <cellXfs count="139">
    <xf numFmtId="0" fontId="0" fillId="0" borderId="0" xfId="0"/>
    <xf numFmtId="0" fontId="0" fillId="0" borderId="2" xfId="0" applyBorder="1"/>
    <xf numFmtId="0" fontId="2" fillId="2" borderId="4" xfId="0" applyFont="1" applyFill="1" applyBorder="1" applyAlignment="1">
      <alignment horizontal="center"/>
    </xf>
    <xf numFmtId="0" fontId="2" fillId="0" borderId="0" xfId="0" applyFont="1"/>
    <xf numFmtId="0" fontId="0" fillId="0" borderId="4" xfId="0" applyBorder="1"/>
    <xf numFmtId="9" fontId="0" fillId="0" borderId="4" xfId="2" applyFont="1" applyBorder="1" applyAlignment="1">
      <alignment horizontal="center"/>
    </xf>
    <xf numFmtId="167" fontId="0" fillId="0" borderId="4" xfId="0" applyNumberFormat="1" applyBorder="1" applyAlignment="1">
      <alignment horizontal="center"/>
    </xf>
    <xf numFmtId="9" fontId="0" fillId="0" borderId="5" xfId="2" applyFont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2" fillId="2" borderId="4" xfId="0" applyFont="1" applyFill="1" applyBorder="1"/>
    <xf numFmtId="0" fontId="2" fillId="2" borderId="4" xfId="0" applyFont="1" applyFill="1" applyBorder="1" applyAlignment="1">
      <alignment horizontal="right"/>
    </xf>
    <xf numFmtId="166" fontId="0" fillId="3" borderId="4" xfId="0" applyNumberFormat="1" applyFill="1" applyBorder="1"/>
    <xf numFmtId="170" fontId="0" fillId="3" borderId="4" xfId="0" applyNumberFormat="1" applyFill="1" applyBorder="1"/>
    <xf numFmtId="169" fontId="0" fillId="0" borderId="4" xfId="1" applyNumberFormat="1" applyFont="1" applyBorder="1"/>
    <xf numFmtId="169" fontId="0" fillId="0" borderId="4" xfId="1" applyNumberFormat="1" applyFont="1" applyFill="1" applyBorder="1"/>
    <xf numFmtId="164" fontId="0" fillId="3" borderId="4" xfId="1" applyFont="1" applyFill="1" applyBorder="1"/>
    <xf numFmtId="169" fontId="0" fillId="4" borderId="4" xfId="1" applyNumberFormat="1" applyFont="1" applyFill="1" applyBorder="1"/>
    <xf numFmtId="168" fontId="0" fillId="3" borderId="4" xfId="2" applyNumberFormat="1" applyFont="1" applyFill="1" applyBorder="1" applyAlignment="1">
      <alignment horizontal="right"/>
    </xf>
    <xf numFmtId="169" fontId="6" fillId="0" borderId="9" xfId="1" applyNumberFormat="1" applyFont="1" applyFill="1" applyBorder="1"/>
    <xf numFmtId="169" fontId="0" fillId="0" borderId="0" xfId="1" applyNumberFormat="1" applyFont="1"/>
    <xf numFmtId="9" fontId="7" fillId="4" borderId="10" xfId="2" applyFont="1" applyFill="1" applyBorder="1" applyAlignment="1">
      <alignment horizontal="center" vertical="center"/>
    </xf>
    <xf numFmtId="0" fontId="8" fillId="2" borderId="4" xfId="0" applyFont="1" applyFill="1" applyBorder="1"/>
    <xf numFmtId="0" fontId="8" fillId="2" borderId="6" xfId="0" applyFont="1" applyFill="1" applyBorder="1" applyAlignment="1">
      <alignment horizontal="right"/>
    </xf>
    <xf numFmtId="0" fontId="8" fillId="2" borderId="4" xfId="0" applyFont="1" applyFill="1" applyBorder="1" applyAlignment="1">
      <alignment horizontal="right"/>
    </xf>
    <xf numFmtId="0" fontId="0" fillId="3" borderId="4" xfId="0" applyFill="1" applyBorder="1"/>
    <xf numFmtId="9" fontId="0" fillId="0" borderId="0" xfId="2" applyFont="1"/>
    <xf numFmtId="0" fontId="0" fillId="0" borderId="7" xfId="0" applyBorder="1" applyAlignment="1">
      <alignment horizontal="center"/>
    </xf>
    <xf numFmtId="171" fontId="0" fillId="3" borderId="4" xfId="0" applyNumberFormat="1" applyFill="1" applyBorder="1"/>
    <xf numFmtId="169" fontId="0" fillId="0" borderId="4" xfId="0" applyNumberFormat="1" applyBorder="1"/>
    <xf numFmtId="0" fontId="0" fillId="0" borderId="4" xfId="0" applyBorder="1" applyAlignment="1">
      <alignment horizontal="left"/>
    </xf>
    <xf numFmtId="172" fontId="0" fillId="3" borderId="11" xfId="0" applyNumberFormat="1" applyFill="1" applyBorder="1" applyAlignment="1">
      <alignment horizontal="center"/>
    </xf>
    <xf numFmtId="169" fontId="0" fillId="4" borderId="4" xfId="0" applyNumberFormat="1" applyFill="1" applyBorder="1"/>
    <xf numFmtId="0" fontId="0" fillId="0" borderId="4" xfId="0" applyBorder="1" applyAlignment="1">
      <alignment horizontal="center"/>
    </xf>
    <xf numFmtId="0" fontId="0" fillId="3" borderId="4" xfId="0" applyFill="1" applyBorder="1" applyAlignment="1">
      <alignment horizontal="center"/>
    </xf>
    <xf numFmtId="169" fontId="0" fillId="3" borderId="4" xfId="1" applyNumberFormat="1" applyFont="1" applyFill="1" applyBorder="1" applyAlignment="1">
      <alignment horizontal="right"/>
    </xf>
    <xf numFmtId="169" fontId="3" fillId="0" borderId="10" xfId="0" applyNumberFormat="1" applyFont="1" applyBorder="1"/>
    <xf numFmtId="173" fontId="9" fillId="3" borderId="4" xfId="0" applyNumberFormat="1" applyFont="1" applyFill="1" applyBorder="1"/>
    <xf numFmtId="169" fontId="3" fillId="0" borderId="0" xfId="0" applyNumberFormat="1" applyFont="1"/>
    <xf numFmtId="169" fontId="0" fillId="3" borderId="4" xfId="1" applyNumberFormat="1" applyFont="1" applyFill="1" applyBorder="1"/>
    <xf numFmtId="164" fontId="0" fillId="3" borderId="2" xfId="1" applyFont="1" applyFill="1" applyBorder="1"/>
    <xf numFmtId="169" fontId="0" fillId="0" borderId="2" xfId="1" applyNumberFormat="1" applyFont="1" applyBorder="1"/>
    <xf numFmtId="169" fontId="3" fillId="0" borderId="2" xfId="0" applyNumberFormat="1" applyFont="1" applyBorder="1"/>
    <xf numFmtId="169" fontId="3" fillId="0" borderId="2" xfId="1" applyNumberFormat="1" applyFont="1" applyBorder="1"/>
    <xf numFmtId="0" fontId="3" fillId="0" borderId="2" xfId="0" applyFont="1" applyBorder="1"/>
    <xf numFmtId="0" fontId="3" fillId="5" borderId="0" xfId="0" applyFont="1" applyFill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43" fontId="3" fillId="0" borderId="1" xfId="4" applyFont="1" applyFill="1" applyBorder="1" applyAlignment="1">
      <alignment horizontal="center"/>
    </xf>
    <xf numFmtId="43" fontId="3" fillId="0" borderId="1" xfId="4" applyFont="1" applyFill="1" applyBorder="1" applyAlignment="1">
      <alignment horizontal="center" wrapText="1"/>
    </xf>
    <xf numFmtId="43" fontId="3" fillId="0" borderId="17" xfId="4" applyFont="1" applyFill="1" applyBorder="1" applyAlignment="1">
      <alignment horizontal="center"/>
    </xf>
    <xf numFmtId="174" fontId="0" fillId="6" borderId="2" xfId="4" applyNumberFormat="1" applyFont="1" applyFill="1" applyBorder="1" applyAlignment="1">
      <alignment horizontal="center" vertical="center"/>
    </xf>
    <xf numFmtId="174" fontId="0" fillId="6" borderId="2" xfId="0" applyNumberFormat="1" applyFill="1" applyBorder="1"/>
    <xf numFmtId="0" fontId="0" fillId="6" borderId="2" xfId="0" applyFill="1" applyBorder="1" applyAlignment="1">
      <alignment horizontal="center"/>
    </xf>
    <xf numFmtId="174" fontId="0" fillId="6" borderId="2" xfId="4" applyNumberFormat="1" applyFont="1" applyFill="1" applyBorder="1" applyAlignment="1">
      <alignment horizontal="center"/>
    </xf>
    <xf numFmtId="43" fontId="0" fillId="6" borderId="2" xfId="4" applyFont="1" applyFill="1" applyBorder="1" applyAlignment="1">
      <alignment horizontal="center"/>
    </xf>
    <xf numFmtId="14" fontId="0" fillId="7" borderId="18" xfId="0" applyNumberFormat="1" applyFill="1" applyBorder="1" applyAlignment="1">
      <alignment horizontal="center" vertical="center" wrapText="1"/>
    </xf>
    <xf numFmtId="174" fontId="0" fillId="7" borderId="18" xfId="4" applyNumberFormat="1" applyFont="1" applyFill="1" applyBorder="1" applyAlignment="1">
      <alignment horizontal="center"/>
    </xf>
    <xf numFmtId="0" fontId="0" fillId="7" borderId="20" xfId="0" applyFill="1" applyBorder="1" applyAlignment="1">
      <alignment horizontal="center" vertical="center" wrapText="1"/>
    </xf>
    <xf numFmtId="14" fontId="0" fillId="7" borderId="2" xfId="0" applyNumberForma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/>
    </xf>
    <xf numFmtId="174" fontId="0" fillId="7" borderId="2" xfId="4" applyNumberFormat="1" applyFont="1" applyFill="1" applyBorder="1" applyAlignment="1">
      <alignment horizontal="center"/>
    </xf>
    <xf numFmtId="43" fontId="0" fillId="7" borderId="2" xfId="4" applyFont="1" applyFill="1" applyBorder="1" applyAlignment="1">
      <alignment horizontal="center"/>
    </xf>
    <xf numFmtId="174" fontId="0" fillId="7" borderId="2" xfId="4" applyNumberFormat="1" applyFont="1" applyFill="1" applyBorder="1"/>
    <xf numFmtId="0" fontId="0" fillId="7" borderId="2" xfId="0" applyFill="1" applyBorder="1" applyAlignment="1">
      <alignment horizontal="center" vertical="center" wrapText="1"/>
    </xf>
    <xf numFmtId="0" fontId="0" fillId="7" borderId="20" xfId="0" applyFill="1" applyBorder="1" applyAlignment="1">
      <alignment horizontal="center"/>
    </xf>
    <xf numFmtId="174" fontId="0" fillId="7" borderId="2" xfId="4" applyNumberFormat="1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74" fontId="0" fillId="7" borderId="2" xfId="0" applyNumberFormat="1" applyFill="1" applyBorder="1"/>
    <xf numFmtId="14" fontId="0" fillId="7" borderId="22" xfId="0" applyNumberFormat="1" applyFill="1" applyBorder="1" applyAlignment="1">
      <alignment horizontal="center" vertical="center" wrapText="1"/>
    </xf>
    <xf numFmtId="174" fontId="0" fillId="7" borderId="22" xfId="4" applyNumberFormat="1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/>
    </xf>
    <xf numFmtId="174" fontId="0" fillId="6" borderId="3" xfId="4" applyNumberFormat="1" applyFont="1" applyFill="1" applyBorder="1" applyAlignment="1">
      <alignment horizontal="center"/>
    </xf>
    <xf numFmtId="174" fontId="0" fillId="0" borderId="0" xfId="0" applyNumberFormat="1"/>
    <xf numFmtId="174" fontId="1" fillId="7" borderId="2" xfId="4" applyNumberFormat="1" applyFont="1" applyFill="1" applyBorder="1" applyAlignment="1">
      <alignment horizontal="center"/>
    </xf>
    <xf numFmtId="174" fontId="1" fillId="7" borderId="2" xfId="4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174" fontId="1" fillId="7" borderId="2" xfId="4" applyNumberFormat="1" applyFont="1" applyFill="1" applyBorder="1" applyAlignment="1">
      <alignment horizontal="center" vertical="center"/>
    </xf>
    <xf numFmtId="14" fontId="0" fillId="6" borderId="2" xfId="0" applyNumberFormat="1" applyFill="1" applyBorder="1" applyAlignment="1">
      <alignment horizontal="center" vertical="center"/>
    </xf>
    <xf numFmtId="174" fontId="0" fillId="6" borderId="2" xfId="5" applyNumberFormat="1" applyFont="1" applyFill="1" applyBorder="1" applyAlignment="1">
      <alignment horizontal="center"/>
    </xf>
    <xf numFmtId="14" fontId="0" fillId="6" borderId="2" xfId="0" applyNumberFormat="1" applyFill="1" applyBorder="1" applyAlignment="1">
      <alignment horizontal="center"/>
    </xf>
    <xf numFmtId="14" fontId="0" fillId="7" borderId="2" xfId="0" applyNumberFormat="1" applyFill="1" applyBorder="1" applyAlignment="1">
      <alignment horizontal="center" vertical="center"/>
    </xf>
    <xf numFmtId="174" fontId="0" fillId="7" borderId="2" xfId="5" applyNumberFormat="1" applyFont="1" applyFill="1" applyBorder="1" applyAlignment="1">
      <alignment horizontal="center"/>
    </xf>
    <xf numFmtId="14" fontId="0" fillId="7" borderId="2" xfId="0" applyNumberFormat="1" applyFill="1" applyBorder="1" applyAlignment="1">
      <alignment horizontal="center"/>
    </xf>
    <xf numFmtId="174" fontId="1" fillId="6" borderId="2" xfId="4" applyNumberFormat="1" applyFont="1" applyFill="1" applyBorder="1" applyAlignment="1">
      <alignment horizontal="center"/>
    </xf>
    <xf numFmtId="175" fontId="3" fillId="0" borderId="23" xfId="0" applyNumberFormat="1" applyFont="1" applyBorder="1"/>
    <xf numFmtId="175" fontId="0" fillId="0" borderId="0" xfId="0" applyNumberFormat="1"/>
    <xf numFmtId="0" fontId="4" fillId="2" borderId="0" xfId="0" applyFont="1" applyFill="1" applyAlignment="1">
      <alignment horizontal="center"/>
    </xf>
    <xf numFmtId="169" fontId="3" fillId="0" borderId="4" xfId="1" applyNumberFormat="1" applyFont="1" applyFill="1" applyBorder="1"/>
    <xf numFmtId="164" fontId="0" fillId="0" borderId="0" xfId="1" applyFont="1"/>
    <xf numFmtId="9" fontId="0" fillId="3" borderId="4" xfId="0" applyNumberFormat="1" applyFill="1" applyBorder="1"/>
    <xf numFmtId="174" fontId="0" fillId="7" borderId="1" xfId="4" applyNumberFormat="1" applyFont="1" applyFill="1" applyBorder="1"/>
    <xf numFmtId="175" fontId="0" fillId="7" borderId="26" xfId="4" applyNumberFormat="1" applyFont="1" applyFill="1" applyBorder="1"/>
    <xf numFmtId="175" fontId="0" fillId="7" borderId="25" xfId="4" applyNumberFormat="1" applyFont="1" applyFill="1" applyBorder="1"/>
    <xf numFmtId="164" fontId="0" fillId="7" borderId="18" xfId="4" applyNumberFormat="1" applyFont="1" applyFill="1" applyBorder="1" applyAlignment="1">
      <alignment horizontal="center"/>
    </xf>
    <xf numFmtId="164" fontId="0" fillId="7" borderId="2" xfId="4" applyNumberFormat="1" applyFont="1" applyFill="1" applyBorder="1" applyAlignment="1">
      <alignment horizontal="center"/>
    </xf>
    <xf numFmtId="164" fontId="0" fillId="7" borderId="2" xfId="4" applyNumberFormat="1" applyFont="1" applyFill="1" applyBorder="1" applyAlignment="1">
      <alignment horizontal="center" vertical="center"/>
    </xf>
    <xf numFmtId="164" fontId="0" fillId="7" borderId="2" xfId="0" applyNumberFormat="1" applyFill="1" applyBorder="1"/>
    <xf numFmtId="164" fontId="0" fillId="7" borderId="22" xfId="4" applyNumberFormat="1" applyFont="1" applyFill="1" applyBorder="1" applyAlignment="1">
      <alignment horizontal="center" vertical="center"/>
    </xf>
    <xf numFmtId="164" fontId="0" fillId="6" borderId="3" xfId="4" applyNumberFormat="1" applyFont="1" applyFill="1" applyBorder="1" applyAlignment="1">
      <alignment horizontal="center"/>
    </xf>
    <xf numFmtId="164" fontId="0" fillId="6" borderId="2" xfId="4" applyNumberFormat="1" applyFont="1" applyFill="1" applyBorder="1" applyAlignment="1">
      <alignment horizontal="center" vertical="center"/>
    </xf>
    <xf numFmtId="164" fontId="0" fillId="6" borderId="2" xfId="4" applyNumberFormat="1" applyFont="1" applyFill="1" applyBorder="1" applyAlignment="1">
      <alignment horizontal="center"/>
    </xf>
    <xf numFmtId="164" fontId="0" fillId="6" borderId="2" xfId="0" applyNumberFormat="1" applyFill="1" applyBorder="1"/>
    <xf numFmtId="164" fontId="1" fillId="7" borderId="2" xfId="4" applyNumberFormat="1" applyFont="1" applyFill="1" applyBorder="1" applyAlignment="1">
      <alignment horizontal="center"/>
    </xf>
    <xf numFmtId="164" fontId="1" fillId="7" borderId="2" xfId="4" applyNumberFormat="1" applyFont="1" applyFill="1" applyBorder="1" applyAlignment="1">
      <alignment vertical="center"/>
    </xf>
    <xf numFmtId="164" fontId="1" fillId="7" borderId="2" xfId="4" applyNumberFormat="1" applyFont="1" applyFill="1" applyBorder="1" applyAlignment="1">
      <alignment horizontal="center" vertical="center"/>
    </xf>
    <xf numFmtId="164" fontId="0" fillId="6" borderId="2" xfId="5" applyNumberFormat="1" applyFont="1" applyFill="1" applyBorder="1" applyAlignment="1">
      <alignment horizontal="center"/>
    </xf>
    <xf numFmtId="164" fontId="0" fillId="7" borderId="2" xfId="5" applyNumberFormat="1" applyFont="1" applyFill="1" applyBorder="1" applyAlignment="1">
      <alignment horizontal="center"/>
    </xf>
    <xf numFmtId="164" fontId="1" fillId="6" borderId="2" xfId="4" applyNumberFormat="1" applyFont="1" applyFill="1" applyBorder="1" applyAlignment="1">
      <alignment horizontal="center"/>
    </xf>
    <xf numFmtId="0" fontId="0" fillId="0" borderId="27" xfId="0" applyBorder="1"/>
    <xf numFmtId="169" fontId="0" fillId="0" borderId="28" xfId="0" applyNumberFormat="1" applyBorder="1"/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9" fontId="5" fillId="0" borderId="9" xfId="2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175" fontId="3" fillId="0" borderId="19" xfId="0" applyNumberFormat="1" applyFont="1" applyBorder="1" applyAlignment="1">
      <alignment horizontal="center" vertical="center"/>
    </xf>
    <xf numFmtId="175" fontId="3" fillId="0" borderId="21" xfId="0" applyNumberFormat="1" applyFont="1" applyBorder="1" applyAlignment="1">
      <alignment horizontal="center" vertical="center"/>
    </xf>
    <xf numFmtId="175" fontId="3" fillId="0" borderId="23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17" fontId="2" fillId="2" borderId="4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67" fontId="0" fillId="0" borderId="0" xfId="0" applyNumberFormat="1" applyAlignment="1">
      <alignment horizontal="left"/>
    </xf>
    <xf numFmtId="177" fontId="0" fillId="0" borderId="0" xfId="2" applyNumberFormat="1" applyFont="1" applyBorder="1" applyAlignment="1">
      <alignment horizontal="center"/>
    </xf>
    <xf numFmtId="0" fontId="0" fillId="0" borderId="7" xfId="0" applyBorder="1" applyAlignment="1"/>
    <xf numFmtId="169" fontId="0" fillId="4" borderId="5" xfId="1" applyNumberFormat="1" applyFont="1" applyFill="1" applyBorder="1"/>
    <xf numFmtId="166" fontId="0" fillId="0" borderId="6" xfId="0" applyNumberFormat="1" applyBorder="1" applyAlignment="1">
      <alignment horizontal="left"/>
    </xf>
    <xf numFmtId="170" fontId="0" fillId="0" borderId="6" xfId="0" applyNumberFormat="1" applyBorder="1" applyAlignment="1">
      <alignment horizontal="left"/>
    </xf>
    <xf numFmtId="166" fontId="0" fillId="4" borderId="6" xfId="0" applyNumberFormat="1" applyFill="1" applyBorder="1"/>
    <xf numFmtId="0" fontId="0" fillId="0" borderId="2" xfId="0" applyBorder="1" applyAlignment="1"/>
  </cellXfs>
  <cellStyles count="6">
    <cellStyle name="Comma" xfId="1" builtinId="3"/>
    <cellStyle name="Comma 2" xfId="4" xr:uid="{623F8FA8-D3C2-4EC0-A87A-A5B4D5BC3494}"/>
    <cellStyle name="Currency 2" xfId="3" xr:uid="{F61452CF-B8A5-4D00-A900-15428319993D}"/>
    <cellStyle name="Currency 3" xfId="5" xr:uid="{061224EF-FFE1-42E2-A523-77B8C8CF26E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ABBC7-D623-4461-A805-E4D52443C047}">
  <sheetPr>
    <tabColor rgb="FF00B050"/>
  </sheetPr>
  <dimension ref="A1:AT82"/>
  <sheetViews>
    <sheetView showGridLines="0" tabSelected="1" zoomScale="88" zoomScaleNormal="88" workbookViewId="0">
      <selection activeCell="B87" sqref="B87"/>
    </sheetView>
  </sheetViews>
  <sheetFormatPr defaultRowHeight="15" outlineLevelRow="1" x14ac:dyDescent="0.25"/>
  <cols>
    <col min="1" max="1" width="46" customWidth="1"/>
    <col min="2" max="2" width="16.42578125" bestFit="1" customWidth="1"/>
    <col min="3" max="3" width="13.85546875" customWidth="1"/>
    <col min="4" max="4" width="13.85546875" bestFit="1" customWidth="1"/>
    <col min="5" max="5" width="21.28515625" customWidth="1"/>
    <col min="6" max="6" width="17.7109375" bestFit="1" customWidth="1"/>
    <col min="7" max="7" width="18" customWidth="1"/>
    <col min="8" max="8" width="15.7109375" customWidth="1"/>
    <col min="9" max="22" width="13.7109375" bestFit="1" customWidth="1"/>
  </cols>
  <sheetData>
    <row r="1" spans="1:22" ht="15.75" x14ac:dyDescent="0.25">
      <c r="A1" s="113" t="s">
        <v>116</v>
      </c>
      <c r="B1" s="113"/>
      <c r="C1" s="113"/>
      <c r="D1" s="113"/>
      <c r="E1" s="113"/>
      <c r="F1" s="113"/>
      <c r="G1" s="113"/>
      <c r="H1" s="87"/>
    </row>
    <row r="2" spans="1:22" x14ac:dyDescent="0.25">
      <c r="C2" s="3"/>
      <c r="D2" s="3"/>
      <c r="E2" s="3"/>
      <c r="F2" s="3"/>
      <c r="G2" s="3"/>
      <c r="H2" s="3"/>
    </row>
    <row r="3" spans="1:22" x14ac:dyDescent="0.25">
      <c r="B3" s="111" t="s">
        <v>0</v>
      </c>
      <c r="C3" s="111"/>
      <c r="D3" s="6" t="s">
        <v>117</v>
      </c>
      <c r="E3" s="6" t="s">
        <v>118</v>
      </c>
      <c r="F3" s="6" t="s">
        <v>119</v>
      </c>
      <c r="G3" s="130" t="s">
        <v>120</v>
      </c>
      <c r="H3" s="131" t="s">
        <v>123</v>
      </c>
    </row>
    <row r="4" spans="1:22" x14ac:dyDescent="0.25">
      <c r="B4" s="111" t="s">
        <v>122</v>
      </c>
      <c r="C4" s="111"/>
      <c r="D4" s="7"/>
      <c r="E4" s="5"/>
      <c r="F4" s="5"/>
      <c r="G4" s="5"/>
      <c r="H4" s="132">
        <f>380*400*30</f>
        <v>4560000</v>
      </c>
    </row>
    <row r="5" spans="1:22" ht="15.75" x14ac:dyDescent="0.25">
      <c r="A5" s="9"/>
      <c r="B5" s="9"/>
      <c r="C5" s="9"/>
      <c r="D5" s="9"/>
      <c r="E5" s="9"/>
      <c r="F5" s="9"/>
      <c r="G5" s="9"/>
      <c r="H5" s="9"/>
    </row>
    <row r="6" spans="1:22" x14ac:dyDescent="0.25">
      <c r="A6" s="10" t="s">
        <v>1</v>
      </c>
      <c r="B6" s="10" t="s">
        <v>4</v>
      </c>
      <c r="C6" s="11" t="s">
        <v>2</v>
      </c>
      <c r="D6" s="2"/>
      <c r="E6" s="2" t="s">
        <v>90</v>
      </c>
      <c r="F6" s="2" t="s">
        <v>91</v>
      </c>
      <c r="G6" s="2" t="s">
        <v>92</v>
      </c>
      <c r="H6" s="2" t="s">
        <v>97</v>
      </c>
      <c r="I6" s="2" t="s">
        <v>94</v>
      </c>
      <c r="J6" s="2" t="s">
        <v>95</v>
      </c>
      <c r="K6" s="129">
        <v>45658</v>
      </c>
      <c r="L6" s="129">
        <v>45689</v>
      </c>
      <c r="M6" s="129">
        <v>45717</v>
      </c>
      <c r="N6" s="129">
        <v>45748</v>
      </c>
      <c r="O6" s="129">
        <v>45778</v>
      </c>
      <c r="P6" s="129">
        <v>45809</v>
      </c>
      <c r="Q6" s="129">
        <v>45839</v>
      </c>
      <c r="R6" s="129">
        <v>45870</v>
      </c>
      <c r="S6" s="129">
        <v>45901</v>
      </c>
      <c r="T6" s="129">
        <v>45931</v>
      </c>
      <c r="U6" s="129">
        <v>45962</v>
      </c>
      <c r="V6" s="129">
        <v>45992</v>
      </c>
    </row>
    <row r="7" spans="1:22" outlineLevel="1" x14ac:dyDescent="0.25">
      <c r="A7" s="30" t="s">
        <v>121</v>
      </c>
      <c r="B7" s="135"/>
      <c r="C7" s="136"/>
      <c r="D7" s="13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</row>
    <row r="8" spans="1:22" x14ac:dyDescent="0.25">
      <c r="A8" s="133" t="s">
        <v>82</v>
      </c>
      <c r="B8" s="138"/>
      <c r="C8" s="138"/>
      <c r="D8" s="41"/>
      <c r="E8" s="134">
        <v>2000000</v>
      </c>
      <c r="F8" s="17">
        <v>3000000</v>
      </c>
      <c r="G8" s="17">
        <v>3000000</v>
      </c>
      <c r="H8" s="17">
        <v>3000000</v>
      </c>
      <c r="I8" s="17">
        <v>4000000</v>
      </c>
      <c r="J8" s="17">
        <v>4000000</v>
      </c>
      <c r="K8" s="17">
        <v>5000000</v>
      </c>
      <c r="L8" s="17">
        <v>5000000</v>
      </c>
      <c r="M8" s="17">
        <v>6000000</v>
      </c>
      <c r="N8" s="17">
        <v>6000000</v>
      </c>
      <c r="O8" s="17">
        <v>6000000</v>
      </c>
      <c r="P8" s="17">
        <v>6000000</v>
      </c>
      <c r="Q8" s="17">
        <v>7000000</v>
      </c>
      <c r="R8" s="17">
        <v>7000000</v>
      </c>
      <c r="S8" s="17">
        <v>8000000</v>
      </c>
      <c r="T8" s="17">
        <v>8000000</v>
      </c>
      <c r="U8" s="17">
        <v>8000000</v>
      </c>
      <c r="V8" s="17">
        <v>8000000</v>
      </c>
    </row>
    <row r="9" spans="1:22" x14ac:dyDescent="0.25"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</row>
    <row r="10" spans="1:22" x14ac:dyDescent="0.25"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</row>
    <row r="11" spans="1:22" x14ac:dyDescent="0.25"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</row>
    <row r="12" spans="1:22" outlineLevel="1" x14ac:dyDescent="0.25">
      <c r="A12" s="10" t="s">
        <v>3</v>
      </c>
      <c r="B12" s="10" t="s">
        <v>4</v>
      </c>
      <c r="C12" s="11" t="s">
        <v>5</v>
      </c>
      <c r="D12" s="115" t="s">
        <v>6</v>
      </c>
      <c r="E12" s="116"/>
      <c r="F12" s="116"/>
      <c r="G12" s="116"/>
      <c r="H12" s="116"/>
      <c r="I12" s="116"/>
      <c r="J12" s="116"/>
    </row>
    <row r="13" spans="1:22" outlineLevel="1" x14ac:dyDescent="0.25">
      <c r="A13" s="88"/>
      <c r="B13" s="12"/>
      <c r="C13" s="16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</row>
    <row r="14" spans="1:22" outlineLevel="1" x14ac:dyDescent="0.25">
      <c r="A14" s="15"/>
      <c r="B14" s="12"/>
      <c r="C14" s="16"/>
      <c r="D14" s="17"/>
      <c r="E14" s="17">
        <f>+D14*1.5</f>
        <v>0</v>
      </c>
      <c r="F14" s="17">
        <f t="shared" ref="F14" si="0">+E14*1.5</f>
        <v>0</v>
      </c>
      <c r="G14" s="17">
        <f>+F14*1.1</f>
        <v>0</v>
      </c>
      <c r="H14" s="17">
        <f>+G14*1.1</f>
        <v>0</v>
      </c>
      <c r="I14" s="17">
        <f>+H14*1.1</f>
        <v>0</v>
      </c>
      <c r="J14" s="17">
        <f>+I14*1.1</f>
        <v>0</v>
      </c>
      <c r="K14" s="17">
        <f>+J14*1.1</f>
        <v>0</v>
      </c>
      <c r="L14" s="17">
        <f t="shared" ref="L14:R14" si="1">+K14*1.1</f>
        <v>0</v>
      </c>
      <c r="M14" s="17">
        <f t="shared" si="1"/>
        <v>0</v>
      </c>
      <c r="N14" s="17">
        <f t="shared" si="1"/>
        <v>0</v>
      </c>
      <c r="O14" s="17">
        <f t="shared" si="1"/>
        <v>0</v>
      </c>
      <c r="P14" s="17">
        <f t="shared" si="1"/>
        <v>0</v>
      </c>
      <c r="Q14" s="17">
        <f t="shared" si="1"/>
        <v>0</v>
      </c>
      <c r="R14" s="17">
        <f t="shared" si="1"/>
        <v>0</v>
      </c>
      <c r="S14" s="17">
        <f t="shared" ref="S14:V14" si="2">+R14*1.1</f>
        <v>0</v>
      </c>
      <c r="T14" s="17">
        <f t="shared" si="2"/>
        <v>0</v>
      </c>
      <c r="U14" s="17">
        <f t="shared" si="2"/>
        <v>0</v>
      </c>
      <c r="V14" s="17">
        <f t="shared" si="2"/>
        <v>0</v>
      </c>
    </row>
    <row r="15" spans="1:22" outlineLevel="1" x14ac:dyDescent="0.25">
      <c r="A15" s="88" t="s">
        <v>108</v>
      </c>
      <c r="B15" s="18"/>
      <c r="C15" s="16"/>
      <c r="D15" s="17"/>
      <c r="E15" s="17">
        <f>E8*(1-E19)</f>
        <v>1540000</v>
      </c>
      <c r="F15" s="17">
        <f t="shared" ref="F15:J15" si="3">F8*(1-F19)</f>
        <v>2310000</v>
      </c>
      <c r="G15" s="17">
        <f t="shared" si="3"/>
        <v>2310000</v>
      </c>
      <c r="H15" s="17">
        <f t="shared" si="3"/>
        <v>2310000</v>
      </c>
      <c r="I15" s="17">
        <f t="shared" si="3"/>
        <v>3080000</v>
      </c>
      <c r="J15" s="17">
        <f t="shared" si="3"/>
        <v>3080000</v>
      </c>
      <c r="K15" s="17">
        <f t="shared" ref="K15:R15" si="4">K8*(1-K19)</f>
        <v>3850000</v>
      </c>
      <c r="L15" s="17">
        <f t="shared" si="4"/>
        <v>3850000</v>
      </c>
      <c r="M15" s="17">
        <f t="shared" si="4"/>
        <v>4620000</v>
      </c>
      <c r="N15" s="17">
        <f t="shared" si="4"/>
        <v>4620000</v>
      </c>
      <c r="O15" s="17">
        <f t="shared" si="4"/>
        <v>4620000</v>
      </c>
      <c r="P15" s="17">
        <f t="shared" si="4"/>
        <v>4620000</v>
      </c>
      <c r="Q15" s="17">
        <f t="shared" si="4"/>
        <v>5390000</v>
      </c>
      <c r="R15" s="17">
        <f t="shared" si="4"/>
        <v>5390000</v>
      </c>
      <c r="S15" s="17">
        <f t="shared" ref="S15:V15" si="5">S8*(1-S19)</f>
        <v>6160000</v>
      </c>
      <c r="T15" s="17">
        <f t="shared" si="5"/>
        <v>6160000</v>
      </c>
      <c r="U15" s="17">
        <f t="shared" si="5"/>
        <v>6160000</v>
      </c>
      <c r="V15" s="17">
        <f t="shared" si="5"/>
        <v>6160000</v>
      </c>
    </row>
    <row r="16" spans="1:22" x14ac:dyDescent="0.25">
      <c r="A16" s="111" t="s">
        <v>7</v>
      </c>
      <c r="B16" s="111"/>
      <c r="C16" s="111"/>
      <c r="D16" s="14"/>
      <c r="E16" s="14">
        <f>SUM(E13:E15)</f>
        <v>1540000</v>
      </c>
      <c r="F16" s="14">
        <f t="shared" ref="F16:J16" si="6">SUM(F13:F15)</f>
        <v>2310000</v>
      </c>
      <c r="G16" s="14">
        <f t="shared" si="6"/>
        <v>2310000</v>
      </c>
      <c r="H16" s="14">
        <f t="shared" ref="H16" si="7">SUM(H13:H15)</f>
        <v>2310000</v>
      </c>
      <c r="I16" s="14">
        <f t="shared" si="6"/>
        <v>3080000</v>
      </c>
      <c r="J16" s="14">
        <f t="shared" si="6"/>
        <v>3080000</v>
      </c>
      <c r="K16" s="14">
        <f t="shared" ref="K16:R16" si="8">SUM(K13:K15)</f>
        <v>3850000</v>
      </c>
      <c r="L16" s="14">
        <f t="shared" si="8"/>
        <v>3850000</v>
      </c>
      <c r="M16" s="14">
        <f t="shared" si="8"/>
        <v>4620000</v>
      </c>
      <c r="N16" s="14">
        <f t="shared" si="8"/>
        <v>4620000</v>
      </c>
      <c r="O16" s="14">
        <f t="shared" si="8"/>
        <v>4620000</v>
      </c>
      <c r="P16" s="14">
        <f t="shared" si="8"/>
        <v>4620000</v>
      </c>
      <c r="Q16" s="14">
        <f t="shared" si="8"/>
        <v>5390000</v>
      </c>
      <c r="R16" s="14">
        <f t="shared" si="8"/>
        <v>5390000</v>
      </c>
      <c r="S16" s="14">
        <f t="shared" ref="S16:V16" si="9">SUM(S13:S15)</f>
        <v>6160000</v>
      </c>
      <c r="T16" s="14">
        <f t="shared" si="9"/>
        <v>6160000</v>
      </c>
      <c r="U16" s="14">
        <f t="shared" si="9"/>
        <v>6160000</v>
      </c>
      <c r="V16" s="14">
        <f t="shared" si="9"/>
        <v>6160000</v>
      </c>
    </row>
    <row r="17" spans="1:22" ht="16.5" thickBot="1" x14ac:dyDescent="0.3">
      <c r="A17" s="117" t="s">
        <v>8</v>
      </c>
      <c r="B17" s="117"/>
      <c r="C17" s="117"/>
      <c r="D17" s="19"/>
      <c r="E17" s="19">
        <f t="shared" ref="E17:J17" si="10">+E8-E16</f>
        <v>460000</v>
      </c>
      <c r="F17" s="19">
        <f t="shared" si="10"/>
        <v>690000</v>
      </c>
      <c r="G17" s="19">
        <f t="shared" si="10"/>
        <v>690000</v>
      </c>
      <c r="H17" s="19">
        <f t="shared" ref="H17" si="11">+H8-H16</f>
        <v>690000</v>
      </c>
      <c r="I17" s="19">
        <f t="shared" si="10"/>
        <v>920000</v>
      </c>
      <c r="J17" s="19">
        <f t="shared" si="10"/>
        <v>920000</v>
      </c>
      <c r="K17" s="19">
        <f t="shared" ref="K17:R17" si="12">+K8-K16</f>
        <v>1150000</v>
      </c>
      <c r="L17" s="19">
        <f t="shared" si="12"/>
        <v>1150000</v>
      </c>
      <c r="M17" s="19">
        <f t="shared" si="12"/>
        <v>1380000</v>
      </c>
      <c r="N17" s="19">
        <f t="shared" si="12"/>
        <v>1380000</v>
      </c>
      <c r="O17" s="19">
        <f t="shared" si="12"/>
        <v>1380000</v>
      </c>
      <c r="P17" s="19">
        <f t="shared" si="12"/>
        <v>1380000</v>
      </c>
      <c r="Q17" s="19">
        <f t="shared" si="12"/>
        <v>1610000</v>
      </c>
      <c r="R17" s="19">
        <f t="shared" si="12"/>
        <v>1610000</v>
      </c>
      <c r="S17" s="19">
        <f t="shared" ref="S17:V17" si="13">+S8-S16</f>
        <v>1840000</v>
      </c>
      <c r="T17" s="19">
        <f t="shared" si="13"/>
        <v>1840000</v>
      </c>
      <c r="U17" s="19">
        <f t="shared" si="13"/>
        <v>1840000</v>
      </c>
      <c r="V17" s="19">
        <f t="shared" si="13"/>
        <v>1840000</v>
      </c>
    </row>
    <row r="18" spans="1:22" ht="15.75" thickTop="1" x14ac:dyDescent="0.25">
      <c r="D18" s="20"/>
      <c r="E18" s="20"/>
      <c r="F18" s="20"/>
      <c r="G18" s="20"/>
      <c r="H18" s="20"/>
    </row>
    <row r="19" spans="1:22" ht="15.75" x14ac:dyDescent="0.25">
      <c r="A19" s="118" t="s">
        <v>9</v>
      </c>
      <c r="B19" s="118"/>
      <c r="C19" s="118"/>
      <c r="D19" s="21"/>
      <c r="E19" s="21">
        <v>0.23</v>
      </c>
      <c r="F19" s="21">
        <v>0.23</v>
      </c>
      <c r="G19" s="21">
        <v>0.23</v>
      </c>
      <c r="H19" s="21">
        <v>0.23</v>
      </c>
      <c r="I19" s="21">
        <v>0.23</v>
      </c>
      <c r="J19" s="21">
        <v>0.23</v>
      </c>
      <c r="K19" s="21">
        <v>0.23</v>
      </c>
      <c r="L19" s="21">
        <v>0.23</v>
      </c>
      <c r="M19" s="21">
        <v>0.23</v>
      </c>
      <c r="N19" s="21">
        <v>0.23</v>
      </c>
      <c r="O19" s="21">
        <v>0.23</v>
      </c>
      <c r="P19" s="21">
        <v>0.23</v>
      </c>
      <c r="Q19" s="21">
        <v>0.23</v>
      </c>
      <c r="R19" s="21">
        <v>0.23</v>
      </c>
      <c r="S19" s="21">
        <v>0.23</v>
      </c>
      <c r="T19" s="21">
        <v>0.23</v>
      </c>
      <c r="U19" s="21">
        <v>0.23</v>
      </c>
      <c r="V19" s="21">
        <v>0.23</v>
      </c>
    </row>
    <row r="20" spans="1:22" x14ac:dyDescent="0.25">
      <c r="D20" s="20"/>
      <c r="E20" s="20"/>
      <c r="F20" s="20"/>
      <c r="G20" s="20"/>
      <c r="H20" s="20"/>
    </row>
    <row r="21" spans="1:22" ht="15.75" outlineLevel="1" x14ac:dyDescent="0.25">
      <c r="A21" s="22" t="s">
        <v>11</v>
      </c>
      <c r="B21" s="23" t="s">
        <v>12</v>
      </c>
      <c r="C21" s="24" t="s">
        <v>13</v>
      </c>
      <c r="D21" s="114" t="s">
        <v>14</v>
      </c>
      <c r="E21" s="113"/>
      <c r="F21" s="113"/>
      <c r="G21" s="113"/>
      <c r="H21" s="113"/>
      <c r="I21" s="113"/>
      <c r="J21" s="113"/>
    </row>
    <row r="22" spans="1:22" outlineLevel="1" x14ac:dyDescent="0.25">
      <c r="A22" s="4" t="s">
        <v>110</v>
      </c>
      <c r="B22" s="25">
        <v>1</v>
      </c>
      <c r="C22" s="16">
        <v>50000</v>
      </c>
      <c r="D22" s="17"/>
      <c r="E22" s="17">
        <f>6000*3.678</f>
        <v>22068</v>
      </c>
      <c r="F22" s="17">
        <f t="shared" ref="F22:V22" si="14">6000*3.678</f>
        <v>22068</v>
      </c>
      <c r="G22" s="17">
        <f t="shared" si="14"/>
        <v>22068</v>
      </c>
      <c r="H22" s="17">
        <f t="shared" si="14"/>
        <v>22068</v>
      </c>
      <c r="I22" s="17">
        <f t="shared" si="14"/>
        <v>22068</v>
      </c>
      <c r="J22" s="17">
        <f t="shared" si="14"/>
        <v>22068</v>
      </c>
      <c r="K22" s="17">
        <f t="shared" si="14"/>
        <v>22068</v>
      </c>
      <c r="L22" s="17">
        <f t="shared" si="14"/>
        <v>22068</v>
      </c>
      <c r="M22" s="17">
        <f t="shared" si="14"/>
        <v>22068</v>
      </c>
      <c r="N22" s="17">
        <f t="shared" si="14"/>
        <v>22068</v>
      </c>
      <c r="O22" s="17">
        <f t="shared" si="14"/>
        <v>22068</v>
      </c>
      <c r="P22" s="17">
        <f t="shared" si="14"/>
        <v>22068</v>
      </c>
      <c r="Q22" s="17">
        <f t="shared" si="14"/>
        <v>22068</v>
      </c>
      <c r="R22" s="17">
        <f t="shared" si="14"/>
        <v>22068</v>
      </c>
      <c r="S22" s="17">
        <f t="shared" si="14"/>
        <v>22068</v>
      </c>
      <c r="T22" s="17">
        <f t="shared" si="14"/>
        <v>22068</v>
      </c>
      <c r="U22" s="17">
        <f t="shared" si="14"/>
        <v>22068</v>
      </c>
      <c r="V22" s="17">
        <f t="shared" si="14"/>
        <v>22068</v>
      </c>
    </row>
    <row r="23" spans="1:22" outlineLevel="1" x14ac:dyDescent="0.25">
      <c r="A23" s="4" t="s">
        <v>111</v>
      </c>
      <c r="B23" s="25">
        <v>1</v>
      </c>
      <c r="C23" s="16">
        <v>50000</v>
      </c>
      <c r="D23" s="17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</row>
    <row r="24" spans="1:22" outlineLevel="1" x14ac:dyDescent="0.25">
      <c r="A24" s="4" t="s">
        <v>112</v>
      </c>
      <c r="B24" s="25">
        <v>1</v>
      </c>
      <c r="C24" s="16">
        <v>50000</v>
      </c>
      <c r="D24" s="17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</row>
    <row r="25" spans="1:22" outlineLevel="1" x14ac:dyDescent="0.25">
      <c r="A25" s="4" t="s">
        <v>41</v>
      </c>
      <c r="B25" s="25">
        <v>1</v>
      </c>
      <c r="C25" s="16">
        <v>16000</v>
      </c>
      <c r="D25" s="17"/>
      <c r="E25" s="17">
        <v>10000</v>
      </c>
      <c r="F25" s="17">
        <v>10000</v>
      </c>
      <c r="G25" s="17">
        <v>10000</v>
      </c>
      <c r="H25" s="17">
        <v>10000</v>
      </c>
      <c r="I25" s="17">
        <v>10000</v>
      </c>
      <c r="J25" s="17">
        <v>10000</v>
      </c>
      <c r="K25" s="17">
        <v>10000</v>
      </c>
      <c r="L25" s="17">
        <v>10000</v>
      </c>
      <c r="M25" s="17">
        <v>10000</v>
      </c>
      <c r="N25" s="17">
        <v>10000</v>
      </c>
      <c r="O25" s="17">
        <v>10000</v>
      </c>
      <c r="P25" s="17">
        <v>10000</v>
      </c>
      <c r="Q25" s="17">
        <v>10000</v>
      </c>
      <c r="R25" s="17">
        <v>10000</v>
      </c>
      <c r="S25" s="17">
        <v>10000</v>
      </c>
      <c r="T25" s="17">
        <v>10000</v>
      </c>
      <c r="U25" s="17">
        <v>10000</v>
      </c>
      <c r="V25" s="17">
        <v>10000</v>
      </c>
    </row>
    <row r="26" spans="1:22" outlineLevel="1" x14ac:dyDescent="0.25">
      <c r="A26" s="4" t="s">
        <v>42</v>
      </c>
      <c r="B26" s="25">
        <v>1</v>
      </c>
      <c r="C26" s="16">
        <v>15000</v>
      </c>
      <c r="D26" s="17"/>
      <c r="E26" s="17">
        <f t="shared" ref="E26:T38" si="15">$B26*$C26*1</f>
        <v>15000</v>
      </c>
      <c r="F26" s="17">
        <f t="shared" si="15"/>
        <v>15000</v>
      </c>
      <c r="G26" s="17">
        <f t="shared" si="15"/>
        <v>15000</v>
      </c>
      <c r="H26" s="17">
        <f t="shared" si="15"/>
        <v>15000</v>
      </c>
      <c r="I26" s="17">
        <f t="shared" si="15"/>
        <v>15000</v>
      </c>
      <c r="J26" s="17">
        <f t="shared" si="15"/>
        <v>15000</v>
      </c>
      <c r="K26" s="17">
        <f t="shared" si="15"/>
        <v>15000</v>
      </c>
      <c r="L26" s="17">
        <f t="shared" si="15"/>
        <v>15000</v>
      </c>
      <c r="M26" s="17">
        <f t="shared" si="15"/>
        <v>15000</v>
      </c>
      <c r="N26" s="17">
        <f t="shared" si="15"/>
        <v>15000</v>
      </c>
      <c r="O26" s="17">
        <f t="shared" si="15"/>
        <v>15000</v>
      </c>
      <c r="P26" s="17">
        <f t="shared" si="15"/>
        <v>15000</v>
      </c>
      <c r="Q26" s="17">
        <f t="shared" si="15"/>
        <v>15000</v>
      </c>
      <c r="R26" s="17">
        <f t="shared" si="15"/>
        <v>15000</v>
      </c>
      <c r="S26" s="17">
        <f t="shared" si="15"/>
        <v>15000</v>
      </c>
      <c r="T26" s="17">
        <f t="shared" si="15"/>
        <v>15000</v>
      </c>
      <c r="U26" s="17">
        <f t="shared" ref="S26:V38" si="16">$B26*$C26*1</f>
        <v>15000</v>
      </c>
      <c r="V26" s="17">
        <f t="shared" si="16"/>
        <v>15000</v>
      </c>
    </row>
    <row r="27" spans="1:22" outlineLevel="1" x14ac:dyDescent="0.25">
      <c r="A27" s="4" t="s">
        <v>113</v>
      </c>
      <c r="B27" s="25">
        <v>1</v>
      </c>
      <c r="C27" s="16">
        <v>11000</v>
      </c>
      <c r="D27" s="17"/>
      <c r="E27" s="17">
        <v>8000</v>
      </c>
      <c r="F27" s="17">
        <v>8000</v>
      </c>
      <c r="G27" s="17">
        <v>8000</v>
      </c>
      <c r="H27" s="17">
        <v>8000</v>
      </c>
      <c r="I27" s="17">
        <v>8000</v>
      </c>
      <c r="J27" s="17">
        <v>8000</v>
      </c>
      <c r="K27" s="17">
        <v>8000</v>
      </c>
      <c r="L27" s="17">
        <v>8000</v>
      </c>
      <c r="M27" s="17">
        <v>8000</v>
      </c>
      <c r="N27" s="17">
        <v>8000</v>
      </c>
      <c r="O27" s="17">
        <v>8000</v>
      </c>
      <c r="P27" s="17">
        <v>8000</v>
      </c>
      <c r="Q27" s="17">
        <v>8000</v>
      </c>
      <c r="R27" s="17">
        <v>8000</v>
      </c>
      <c r="S27" s="17">
        <v>8000</v>
      </c>
      <c r="T27" s="17">
        <v>8000</v>
      </c>
      <c r="U27" s="17">
        <v>8000</v>
      </c>
      <c r="V27" s="17">
        <v>8000</v>
      </c>
    </row>
    <row r="28" spans="1:22" outlineLevel="1" x14ac:dyDescent="0.25">
      <c r="A28" s="4" t="s">
        <v>44</v>
      </c>
      <c r="B28" s="25">
        <v>1</v>
      </c>
      <c r="C28" s="16">
        <v>11000</v>
      </c>
      <c r="D28" s="17"/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</row>
    <row r="29" spans="1:22" outlineLevel="1" x14ac:dyDescent="0.25">
      <c r="A29" s="4" t="s">
        <v>45</v>
      </c>
      <c r="B29" s="25">
        <v>1</v>
      </c>
      <c r="C29" s="16">
        <v>9500</v>
      </c>
      <c r="D29" s="17"/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</row>
    <row r="30" spans="1:22" outlineLevel="1" x14ac:dyDescent="0.25">
      <c r="A30" s="4" t="s">
        <v>109</v>
      </c>
      <c r="B30" s="25">
        <v>1</v>
      </c>
      <c r="C30" s="16">
        <v>9500</v>
      </c>
      <c r="D30" s="17"/>
      <c r="E30" s="17">
        <v>4000</v>
      </c>
      <c r="F30" s="17">
        <v>4000</v>
      </c>
      <c r="G30" s="17">
        <v>4000</v>
      </c>
      <c r="H30" s="17">
        <v>4000</v>
      </c>
      <c r="I30" s="17">
        <v>4000</v>
      </c>
      <c r="J30" s="17">
        <v>4000</v>
      </c>
      <c r="K30" s="17">
        <v>4000</v>
      </c>
      <c r="L30" s="17">
        <v>4000</v>
      </c>
      <c r="M30" s="17">
        <v>4000</v>
      </c>
      <c r="N30" s="17">
        <v>4000</v>
      </c>
      <c r="O30" s="17">
        <v>4000</v>
      </c>
      <c r="P30" s="17">
        <v>4000</v>
      </c>
      <c r="Q30" s="17">
        <v>4000</v>
      </c>
      <c r="R30" s="17">
        <v>4000</v>
      </c>
      <c r="S30" s="17">
        <v>4000</v>
      </c>
      <c r="T30" s="17">
        <v>4000</v>
      </c>
      <c r="U30" s="17">
        <v>4000</v>
      </c>
      <c r="V30" s="17">
        <v>4000</v>
      </c>
    </row>
    <row r="31" spans="1:22" outlineLevel="1" x14ac:dyDescent="0.25">
      <c r="A31" s="4" t="s">
        <v>46</v>
      </c>
      <c r="B31" s="25">
        <v>1</v>
      </c>
      <c r="C31" s="16">
        <v>9000</v>
      </c>
      <c r="D31" s="17"/>
      <c r="E31" s="17">
        <v>7000</v>
      </c>
      <c r="F31" s="17">
        <v>7000</v>
      </c>
      <c r="G31" s="17">
        <v>7000</v>
      </c>
      <c r="H31" s="17">
        <v>7000</v>
      </c>
      <c r="I31" s="17">
        <v>7000</v>
      </c>
      <c r="J31" s="17">
        <v>7000</v>
      </c>
      <c r="K31" s="17">
        <v>7000</v>
      </c>
      <c r="L31" s="17">
        <v>7000</v>
      </c>
      <c r="M31" s="17">
        <v>7000</v>
      </c>
      <c r="N31" s="17">
        <v>7000</v>
      </c>
      <c r="O31" s="17">
        <v>7000</v>
      </c>
      <c r="P31" s="17">
        <v>7000</v>
      </c>
      <c r="Q31" s="17">
        <v>7000</v>
      </c>
      <c r="R31" s="17">
        <v>7000</v>
      </c>
      <c r="S31" s="17">
        <v>7000</v>
      </c>
      <c r="T31" s="17">
        <v>7000</v>
      </c>
      <c r="U31" s="17">
        <v>7000</v>
      </c>
      <c r="V31" s="17">
        <v>7000</v>
      </c>
    </row>
    <row r="32" spans="1:22" outlineLevel="1" x14ac:dyDescent="0.25">
      <c r="A32" s="4" t="s">
        <v>47</v>
      </c>
      <c r="B32" s="25">
        <v>1</v>
      </c>
      <c r="C32" s="16">
        <v>8000</v>
      </c>
      <c r="D32" s="17"/>
      <c r="E32" s="17">
        <v>4000</v>
      </c>
      <c r="F32" s="17">
        <v>4000</v>
      </c>
      <c r="G32" s="17">
        <v>4000</v>
      </c>
      <c r="H32" s="17">
        <v>4000</v>
      </c>
      <c r="I32" s="17">
        <v>4000</v>
      </c>
      <c r="J32" s="17">
        <v>4000</v>
      </c>
      <c r="K32" s="17">
        <v>4000</v>
      </c>
      <c r="L32" s="17">
        <v>4000</v>
      </c>
      <c r="M32" s="17">
        <v>4000</v>
      </c>
      <c r="N32" s="17">
        <v>4000</v>
      </c>
      <c r="O32" s="17">
        <v>4000</v>
      </c>
      <c r="P32" s="17">
        <v>4000</v>
      </c>
      <c r="Q32" s="17">
        <v>4000</v>
      </c>
      <c r="R32" s="17">
        <v>4000</v>
      </c>
      <c r="S32" s="17">
        <v>4000</v>
      </c>
      <c r="T32" s="17">
        <v>4000</v>
      </c>
      <c r="U32" s="17">
        <v>4000</v>
      </c>
      <c r="V32" s="17">
        <v>4000</v>
      </c>
    </row>
    <row r="33" spans="1:22" outlineLevel="1" x14ac:dyDescent="0.25">
      <c r="A33" s="4" t="s">
        <v>16</v>
      </c>
      <c r="B33" s="25">
        <v>1</v>
      </c>
      <c r="C33" s="16">
        <v>8000</v>
      </c>
      <c r="D33" s="17"/>
      <c r="E33" s="17">
        <f t="shared" si="15"/>
        <v>8000</v>
      </c>
      <c r="F33" s="17">
        <f t="shared" si="15"/>
        <v>8000</v>
      </c>
      <c r="G33" s="17">
        <f t="shared" si="15"/>
        <v>8000</v>
      </c>
      <c r="H33" s="17">
        <f t="shared" si="15"/>
        <v>8000</v>
      </c>
      <c r="I33" s="17">
        <f t="shared" si="15"/>
        <v>8000</v>
      </c>
      <c r="J33" s="17">
        <f t="shared" si="15"/>
        <v>8000</v>
      </c>
      <c r="K33" s="17">
        <f t="shared" si="15"/>
        <v>8000</v>
      </c>
      <c r="L33" s="17">
        <f t="shared" si="15"/>
        <v>8000</v>
      </c>
      <c r="M33" s="17">
        <f t="shared" si="15"/>
        <v>8000</v>
      </c>
      <c r="N33" s="17">
        <f t="shared" si="15"/>
        <v>8000</v>
      </c>
      <c r="O33" s="17">
        <f t="shared" si="15"/>
        <v>8000</v>
      </c>
      <c r="P33" s="17">
        <f t="shared" si="15"/>
        <v>8000</v>
      </c>
      <c r="Q33" s="17">
        <f t="shared" si="15"/>
        <v>8000</v>
      </c>
      <c r="R33" s="17">
        <f t="shared" si="15"/>
        <v>8000</v>
      </c>
      <c r="S33" s="17">
        <f t="shared" si="16"/>
        <v>8000</v>
      </c>
      <c r="T33" s="17">
        <f t="shared" si="16"/>
        <v>8000</v>
      </c>
      <c r="U33" s="17">
        <f t="shared" si="16"/>
        <v>8000</v>
      </c>
      <c r="V33" s="17">
        <f t="shared" si="16"/>
        <v>8000</v>
      </c>
    </row>
    <row r="34" spans="1:22" outlineLevel="1" x14ac:dyDescent="0.25">
      <c r="A34" s="4" t="s">
        <v>115</v>
      </c>
      <c r="B34" s="25">
        <v>1</v>
      </c>
      <c r="C34" s="16">
        <v>8000</v>
      </c>
      <c r="D34" s="17"/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</row>
    <row r="35" spans="1:22" outlineLevel="1" x14ac:dyDescent="0.25">
      <c r="A35" s="4" t="s">
        <v>114</v>
      </c>
      <c r="B35" s="25">
        <v>1</v>
      </c>
      <c r="C35" s="16">
        <v>5500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</row>
    <row r="36" spans="1:22" outlineLevel="1" x14ac:dyDescent="0.25">
      <c r="A36" s="4" t="s">
        <v>49</v>
      </c>
      <c r="B36" s="25">
        <v>1</v>
      </c>
      <c r="C36" s="16">
        <v>4000</v>
      </c>
      <c r="D36" s="17"/>
      <c r="E36" s="17">
        <f t="shared" si="15"/>
        <v>4000</v>
      </c>
      <c r="F36" s="17">
        <f t="shared" si="15"/>
        <v>4000</v>
      </c>
      <c r="G36" s="17">
        <f t="shared" si="15"/>
        <v>4000</v>
      </c>
      <c r="H36" s="17">
        <f t="shared" si="15"/>
        <v>4000</v>
      </c>
      <c r="I36" s="17">
        <f t="shared" si="15"/>
        <v>4000</v>
      </c>
      <c r="J36" s="17">
        <f t="shared" si="15"/>
        <v>4000</v>
      </c>
      <c r="K36" s="17">
        <f t="shared" si="15"/>
        <v>4000</v>
      </c>
      <c r="L36" s="17">
        <f t="shared" si="15"/>
        <v>4000</v>
      </c>
      <c r="M36" s="17">
        <f t="shared" si="15"/>
        <v>4000</v>
      </c>
      <c r="N36" s="17">
        <f t="shared" si="15"/>
        <v>4000</v>
      </c>
      <c r="O36" s="17">
        <f t="shared" si="15"/>
        <v>4000</v>
      </c>
      <c r="P36" s="17">
        <f t="shared" si="15"/>
        <v>4000</v>
      </c>
      <c r="Q36" s="17">
        <f t="shared" si="15"/>
        <v>4000</v>
      </c>
      <c r="R36" s="17">
        <f t="shared" si="15"/>
        <v>4000</v>
      </c>
      <c r="S36" s="17">
        <f t="shared" si="16"/>
        <v>4000</v>
      </c>
      <c r="T36" s="17">
        <f t="shared" si="16"/>
        <v>4000</v>
      </c>
      <c r="U36" s="17">
        <f t="shared" si="16"/>
        <v>4000</v>
      </c>
      <c r="V36" s="17">
        <f t="shared" si="16"/>
        <v>4000</v>
      </c>
    </row>
    <row r="37" spans="1:22" outlineLevel="1" x14ac:dyDescent="0.25">
      <c r="A37" s="4" t="s">
        <v>50</v>
      </c>
      <c r="B37" s="25">
        <v>2</v>
      </c>
      <c r="C37" s="16">
        <v>2000</v>
      </c>
      <c r="D37" s="17"/>
      <c r="E37" s="17">
        <f t="shared" si="15"/>
        <v>4000</v>
      </c>
      <c r="F37" s="17">
        <f t="shared" si="15"/>
        <v>4000</v>
      </c>
      <c r="G37" s="17">
        <f t="shared" si="15"/>
        <v>4000</v>
      </c>
      <c r="H37" s="17">
        <f t="shared" si="15"/>
        <v>4000</v>
      </c>
      <c r="I37" s="17">
        <f t="shared" si="15"/>
        <v>4000</v>
      </c>
      <c r="J37" s="17">
        <f t="shared" si="15"/>
        <v>4000</v>
      </c>
      <c r="K37" s="17">
        <f t="shared" si="15"/>
        <v>4000</v>
      </c>
      <c r="L37" s="17">
        <f t="shared" si="15"/>
        <v>4000</v>
      </c>
      <c r="M37" s="17">
        <f t="shared" si="15"/>
        <v>4000</v>
      </c>
      <c r="N37" s="17">
        <f t="shared" si="15"/>
        <v>4000</v>
      </c>
      <c r="O37" s="17">
        <f t="shared" si="15"/>
        <v>4000</v>
      </c>
      <c r="P37" s="17">
        <f t="shared" si="15"/>
        <v>4000</v>
      </c>
      <c r="Q37" s="17">
        <f t="shared" si="15"/>
        <v>4000</v>
      </c>
      <c r="R37" s="17">
        <f t="shared" si="15"/>
        <v>4000</v>
      </c>
      <c r="S37" s="17">
        <f t="shared" si="16"/>
        <v>4000</v>
      </c>
      <c r="T37" s="17">
        <f t="shared" si="16"/>
        <v>4000</v>
      </c>
      <c r="U37" s="17">
        <f t="shared" si="16"/>
        <v>4000</v>
      </c>
      <c r="V37" s="17">
        <f t="shared" si="16"/>
        <v>4000</v>
      </c>
    </row>
    <row r="38" spans="1:22" outlineLevel="1" x14ac:dyDescent="0.25">
      <c r="A38" s="4" t="s">
        <v>51</v>
      </c>
      <c r="B38" s="25">
        <v>1</v>
      </c>
      <c r="C38" s="16">
        <v>2000</v>
      </c>
      <c r="D38" s="17"/>
      <c r="E38" s="17">
        <f t="shared" si="15"/>
        <v>2000</v>
      </c>
      <c r="F38" s="17">
        <f t="shared" si="15"/>
        <v>2000</v>
      </c>
      <c r="G38" s="17">
        <f t="shared" si="15"/>
        <v>2000</v>
      </c>
      <c r="H38" s="17">
        <f t="shared" si="15"/>
        <v>2000</v>
      </c>
      <c r="I38" s="17">
        <f t="shared" si="15"/>
        <v>2000</v>
      </c>
      <c r="J38" s="17">
        <f t="shared" si="15"/>
        <v>2000</v>
      </c>
      <c r="K38" s="17">
        <f t="shared" si="15"/>
        <v>2000</v>
      </c>
      <c r="L38" s="17">
        <f t="shared" si="15"/>
        <v>2000</v>
      </c>
      <c r="M38" s="17">
        <f t="shared" si="15"/>
        <v>2000</v>
      </c>
      <c r="N38" s="17">
        <f t="shared" si="15"/>
        <v>2000</v>
      </c>
      <c r="O38" s="17">
        <f t="shared" si="15"/>
        <v>2000</v>
      </c>
      <c r="P38" s="17">
        <f t="shared" si="15"/>
        <v>2000</v>
      </c>
      <c r="Q38" s="17">
        <f t="shared" si="15"/>
        <v>2000</v>
      </c>
      <c r="R38" s="17">
        <f t="shared" si="15"/>
        <v>2000</v>
      </c>
      <c r="S38" s="17">
        <f t="shared" si="16"/>
        <v>2000</v>
      </c>
      <c r="T38" s="17">
        <f t="shared" si="16"/>
        <v>2000</v>
      </c>
      <c r="U38" s="17">
        <f t="shared" si="16"/>
        <v>2000</v>
      </c>
      <c r="V38" s="17">
        <f t="shared" si="16"/>
        <v>2000</v>
      </c>
    </row>
    <row r="39" spans="1:22" outlineLevel="1" x14ac:dyDescent="0.25">
      <c r="A39" s="4" t="s">
        <v>64</v>
      </c>
      <c r="B39" s="25" t="s">
        <v>65</v>
      </c>
      <c r="C39" s="39">
        <v>200000</v>
      </c>
      <c r="D39" s="17"/>
      <c r="E39" s="17">
        <f>+$C$39/12</f>
        <v>16666.666666666668</v>
      </c>
      <c r="F39" s="17">
        <f t="shared" ref="F39:V39" si="17">+$C$39/12</f>
        <v>16666.666666666668</v>
      </c>
      <c r="G39" s="17">
        <f t="shared" si="17"/>
        <v>16666.666666666668</v>
      </c>
      <c r="H39" s="17">
        <f t="shared" si="17"/>
        <v>16666.666666666668</v>
      </c>
      <c r="I39" s="17">
        <f t="shared" si="17"/>
        <v>16666.666666666668</v>
      </c>
      <c r="J39" s="17">
        <f t="shared" si="17"/>
        <v>16666.666666666668</v>
      </c>
      <c r="K39" s="17">
        <f t="shared" si="17"/>
        <v>16666.666666666668</v>
      </c>
      <c r="L39" s="17">
        <f t="shared" si="17"/>
        <v>16666.666666666668</v>
      </c>
      <c r="M39" s="17">
        <f t="shared" si="17"/>
        <v>16666.666666666668</v>
      </c>
      <c r="N39" s="17">
        <f t="shared" si="17"/>
        <v>16666.666666666668</v>
      </c>
      <c r="O39" s="17">
        <f t="shared" si="17"/>
        <v>16666.666666666668</v>
      </c>
      <c r="P39" s="17">
        <f t="shared" si="17"/>
        <v>16666.666666666668</v>
      </c>
      <c r="Q39" s="17">
        <f t="shared" si="17"/>
        <v>16666.666666666668</v>
      </c>
      <c r="R39" s="17">
        <f t="shared" si="17"/>
        <v>16666.666666666668</v>
      </c>
      <c r="S39" s="17">
        <f t="shared" si="17"/>
        <v>16666.666666666668</v>
      </c>
      <c r="T39" s="17">
        <f t="shared" si="17"/>
        <v>16666.666666666668</v>
      </c>
      <c r="U39" s="17">
        <f t="shared" si="17"/>
        <v>16666.666666666668</v>
      </c>
      <c r="V39" s="17">
        <f t="shared" si="17"/>
        <v>16666.666666666668</v>
      </c>
    </row>
    <row r="40" spans="1:22" x14ac:dyDescent="0.25">
      <c r="A40" s="111" t="s">
        <v>18</v>
      </c>
      <c r="B40" s="111"/>
      <c r="C40" s="111"/>
      <c r="D40" s="14">
        <f t="shared" ref="D40:J40" si="18">SUM(D22:D39)</f>
        <v>0</v>
      </c>
      <c r="E40" s="14">
        <f t="shared" si="18"/>
        <v>104734.66666666667</v>
      </c>
      <c r="F40" s="14">
        <f t="shared" si="18"/>
        <v>104734.66666666667</v>
      </c>
      <c r="G40" s="14">
        <f t="shared" si="18"/>
        <v>104734.66666666667</v>
      </c>
      <c r="H40" s="14">
        <f t="shared" ref="H40" si="19">SUM(H22:H39)</f>
        <v>104734.66666666667</v>
      </c>
      <c r="I40" s="14">
        <f t="shared" si="18"/>
        <v>104734.66666666667</v>
      </c>
      <c r="J40" s="14">
        <f t="shared" si="18"/>
        <v>104734.66666666667</v>
      </c>
      <c r="K40" s="14">
        <f t="shared" ref="K40:R40" si="20">SUM(K22:K39)</f>
        <v>104734.66666666667</v>
      </c>
      <c r="L40" s="14">
        <f t="shared" si="20"/>
        <v>104734.66666666667</v>
      </c>
      <c r="M40" s="14">
        <f t="shared" si="20"/>
        <v>104734.66666666667</v>
      </c>
      <c r="N40" s="14">
        <f t="shared" si="20"/>
        <v>104734.66666666667</v>
      </c>
      <c r="O40" s="14">
        <f t="shared" si="20"/>
        <v>104734.66666666667</v>
      </c>
      <c r="P40" s="14">
        <f t="shared" si="20"/>
        <v>104734.66666666667</v>
      </c>
      <c r="Q40" s="14">
        <f t="shared" si="20"/>
        <v>104734.66666666667</v>
      </c>
      <c r="R40" s="14">
        <f t="shared" si="20"/>
        <v>104734.66666666667</v>
      </c>
      <c r="S40" s="14">
        <f t="shared" ref="S40:V40" si="21">SUM(S22:S39)</f>
        <v>104734.66666666667</v>
      </c>
      <c r="T40" s="14">
        <f t="shared" si="21"/>
        <v>104734.66666666667</v>
      </c>
      <c r="U40" s="14">
        <f t="shared" si="21"/>
        <v>104734.66666666667</v>
      </c>
      <c r="V40" s="14">
        <f t="shared" si="21"/>
        <v>104734.66666666667</v>
      </c>
    </row>
    <row r="41" spans="1:22" ht="15.75" outlineLevel="1" x14ac:dyDescent="0.25">
      <c r="A41" s="22" t="s">
        <v>11</v>
      </c>
      <c r="B41" s="23" t="s">
        <v>12</v>
      </c>
      <c r="C41" s="24" t="s">
        <v>19</v>
      </c>
      <c r="D41" s="119" t="s">
        <v>20</v>
      </c>
      <c r="E41" s="120"/>
      <c r="F41" s="120"/>
      <c r="G41" s="120"/>
      <c r="H41" s="120"/>
      <c r="I41" s="120"/>
      <c r="J41" s="120"/>
    </row>
    <row r="42" spans="1:22" outlineLevel="1" x14ac:dyDescent="0.25">
      <c r="A42" s="4" t="s">
        <v>21</v>
      </c>
      <c r="B42" s="25">
        <v>2</v>
      </c>
      <c r="C42" s="25">
        <v>2500</v>
      </c>
      <c r="D42" s="17"/>
      <c r="E42" s="17">
        <v>5000</v>
      </c>
      <c r="F42" s="17">
        <f>+E42/E8*F8</f>
        <v>7500</v>
      </c>
      <c r="G42" s="17">
        <f t="shared" ref="G42:K42" si="22">+F42/F8*G8</f>
        <v>7500</v>
      </c>
      <c r="H42" s="17">
        <f t="shared" si="22"/>
        <v>7500</v>
      </c>
      <c r="I42" s="17">
        <f t="shared" si="22"/>
        <v>10000</v>
      </c>
      <c r="J42" s="17">
        <f t="shared" si="22"/>
        <v>10000</v>
      </c>
      <c r="K42" s="17">
        <f t="shared" si="22"/>
        <v>12500</v>
      </c>
      <c r="L42" s="17">
        <f t="shared" ref="L42" si="23">+K42/K8*L8</f>
        <v>12500</v>
      </c>
      <c r="M42" s="17">
        <f t="shared" ref="M42" si="24">+L42/L8*M8</f>
        <v>15000</v>
      </c>
      <c r="N42" s="17">
        <f t="shared" ref="N42" si="25">+M42/M8*N8</f>
        <v>15000</v>
      </c>
      <c r="O42" s="17">
        <f t="shared" ref="O42" si="26">+N42/N8*O8</f>
        <v>15000</v>
      </c>
      <c r="P42" s="17">
        <f t="shared" ref="P42" si="27">+O42/O8*P8</f>
        <v>15000</v>
      </c>
      <c r="Q42" s="17">
        <f t="shared" ref="Q42" si="28">+P42/P8*Q8</f>
        <v>17500</v>
      </c>
      <c r="R42" s="17">
        <f t="shared" ref="R42" si="29">+Q42/Q8*R8</f>
        <v>17500</v>
      </c>
      <c r="S42" s="17">
        <f t="shared" ref="S42" si="30">+R42/R8*S8</f>
        <v>20000</v>
      </c>
      <c r="T42" s="17">
        <f t="shared" ref="T42" si="31">+S42/S8*T8</f>
        <v>20000</v>
      </c>
      <c r="U42" s="17">
        <f t="shared" ref="U42" si="32">+T42/T8*U8</f>
        <v>20000</v>
      </c>
      <c r="V42" s="17">
        <f t="shared" ref="V42" si="33">+U42/U8*V8</f>
        <v>20000</v>
      </c>
    </row>
    <row r="43" spans="1:22" outlineLevel="1" x14ac:dyDescent="0.25">
      <c r="A43" s="4" t="s">
        <v>55</v>
      </c>
      <c r="B43" s="25">
        <v>3</v>
      </c>
      <c r="C43" s="25">
        <v>2500</v>
      </c>
      <c r="D43" s="17"/>
      <c r="E43" s="17">
        <f>2500*3</f>
        <v>7500</v>
      </c>
      <c r="F43" s="17">
        <f>+E43/E8*F8</f>
        <v>11250</v>
      </c>
      <c r="G43" s="17">
        <f t="shared" ref="G43:K43" si="34">+F43/F8*G8</f>
        <v>11250</v>
      </c>
      <c r="H43" s="17">
        <f t="shared" si="34"/>
        <v>11250</v>
      </c>
      <c r="I43" s="17">
        <f t="shared" si="34"/>
        <v>15000</v>
      </c>
      <c r="J43" s="17">
        <f t="shared" si="34"/>
        <v>15000</v>
      </c>
      <c r="K43" s="17">
        <f t="shared" si="34"/>
        <v>18750</v>
      </c>
      <c r="L43" s="17">
        <f t="shared" ref="L43" si="35">+K43/K8*L8</f>
        <v>18750</v>
      </c>
      <c r="M43" s="17">
        <f t="shared" ref="M43" si="36">+L43/L8*M8</f>
        <v>22500</v>
      </c>
      <c r="N43" s="17">
        <f t="shared" ref="N43" si="37">+M43/M8*N8</f>
        <v>22500</v>
      </c>
      <c r="O43" s="17">
        <f t="shared" ref="O43" si="38">+N43/N8*O8</f>
        <v>22500</v>
      </c>
      <c r="P43" s="17">
        <f t="shared" ref="P43" si="39">+O43/O8*P8</f>
        <v>22500</v>
      </c>
      <c r="Q43" s="17">
        <f t="shared" ref="Q43" si="40">+P43/P8*Q8</f>
        <v>26250</v>
      </c>
      <c r="R43" s="17">
        <f t="shared" ref="R43" si="41">+Q43/Q8*R8</f>
        <v>26250</v>
      </c>
      <c r="S43" s="17">
        <f t="shared" ref="S43" si="42">+R43/R8*S8</f>
        <v>30000</v>
      </c>
      <c r="T43" s="17">
        <f t="shared" ref="T43" si="43">+S43/S8*T8</f>
        <v>30000</v>
      </c>
      <c r="U43" s="17">
        <f t="shared" ref="U43" si="44">+T43/T8*U8</f>
        <v>30000</v>
      </c>
      <c r="V43" s="17">
        <f t="shared" ref="V43" si="45">+U43/U8*V8</f>
        <v>30000</v>
      </c>
    </row>
    <row r="44" spans="1:22" outlineLevel="1" x14ac:dyDescent="0.25">
      <c r="A44" s="4" t="s">
        <v>98</v>
      </c>
      <c r="B44" s="25"/>
      <c r="C44" s="25"/>
      <c r="D44" s="17"/>
      <c r="E44" s="17">
        <f>+E8*1%</f>
        <v>20000</v>
      </c>
      <c r="F44" s="17">
        <f t="shared" ref="F44:J44" si="46">+F8*1%</f>
        <v>30000</v>
      </c>
      <c r="G44" s="17">
        <f t="shared" si="46"/>
        <v>30000</v>
      </c>
      <c r="H44" s="17">
        <f t="shared" si="46"/>
        <v>30000</v>
      </c>
      <c r="I44" s="17">
        <f t="shared" si="46"/>
        <v>40000</v>
      </c>
      <c r="J44" s="17">
        <f t="shared" si="46"/>
        <v>40000</v>
      </c>
      <c r="K44" s="17">
        <f t="shared" ref="K44:R44" si="47">+K8*1%</f>
        <v>50000</v>
      </c>
      <c r="L44" s="17">
        <f t="shared" si="47"/>
        <v>50000</v>
      </c>
      <c r="M44" s="17">
        <f t="shared" si="47"/>
        <v>60000</v>
      </c>
      <c r="N44" s="17">
        <f t="shared" si="47"/>
        <v>60000</v>
      </c>
      <c r="O44" s="17">
        <f t="shared" si="47"/>
        <v>60000</v>
      </c>
      <c r="P44" s="17">
        <f t="shared" si="47"/>
        <v>60000</v>
      </c>
      <c r="Q44" s="17">
        <f t="shared" si="47"/>
        <v>70000</v>
      </c>
      <c r="R44" s="17">
        <f t="shared" si="47"/>
        <v>70000</v>
      </c>
      <c r="S44" s="17">
        <f t="shared" ref="S44:V44" si="48">+S8*1%</f>
        <v>80000</v>
      </c>
      <c r="T44" s="17">
        <f t="shared" si="48"/>
        <v>80000</v>
      </c>
      <c r="U44" s="17">
        <f t="shared" si="48"/>
        <v>80000</v>
      </c>
      <c r="V44" s="17">
        <f t="shared" si="48"/>
        <v>80000</v>
      </c>
    </row>
    <row r="45" spans="1:22" outlineLevel="1" x14ac:dyDescent="0.25">
      <c r="A45" s="4" t="s">
        <v>99</v>
      </c>
      <c r="B45" s="25"/>
      <c r="C45" s="25"/>
      <c r="D45" s="17"/>
      <c r="E45" s="17">
        <v>5000</v>
      </c>
      <c r="F45" s="17">
        <v>5000</v>
      </c>
      <c r="G45" s="17">
        <v>5000</v>
      </c>
      <c r="H45" s="17">
        <v>5000</v>
      </c>
      <c r="I45" s="17">
        <v>5000</v>
      </c>
      <c r="J45" s="17">
        <v>5000</v>
      </c>
      <c r="K45" s="17">
        <v>5000</v>
      </c>
      <c r="L45" s="17">
        <v>5000</v>
      </c>
      <c r="M45" s="17">
        <v>5000</v>
      </c>
      <c r="N45" s="17">
        <v>5000</v>
      </c>
      <c r="O45" s="17">
        <v>5000</v>
      </c>
      <c r="P45" s="17">
        <v>5000</v>
      </c>
      <c r="Q45" s="17">
        <v>5000</v>
      </c>
      <c r="R45" s="17">
        <v>5000</v>
      </c>
      <c r="S45" s="17">
        <v>5000</v>
      </c>
      <c r="T45" s="17">
        <v>5000</v>
      </c>
      <c r="U45" s="17">
        <v>5000</v>
      </c>
      <c r="V45" s="17">
        <v>5000</v>
      </c>
    </row>
    <row r="46" spans="1:22" outlineLevel="1" x14ac:dyDescent="0.25">
      <c r="A46" s="4" t="s">
        <v>100</v>
      </c>
      <c r="B46" s="90"/>
      <c r="C46" s="25"/>
      <c r="D46" s="17"/>
      <c r="E46" s="17">
        <f>+E8*2%</f>
        <v>40000</v>
      </c>
      <c r="F46" s="17">
        <f t="shared" ref="F46:J46" si="49">+F8*2%</f>
        <v>60000</v>
      </c>
      <c r="G46" s="17">
        <f t="shared" si="49"/>
        <v>60000</v>
      </c>
      <c r="H46" s="17">
        <f t="shared" si="49"/>
        <v>60000</v>
      </c>
      <c r="I46" s="17">
        <f t="shared" si="49"/>
        <v>80000</v>
      </c>
      <c r="J46" s="17">
        <f t="shared" si="49"/>
        <v>80000</v>
      </c>
      <c r="K46" s="17">
        <f t="shared" ref="K46:R46" si="50">+K8*2%</f>
        <v>100000</v>
      </c>
      <c r="L46" s="17">
        <f t="shared" si="50"/>
        <v>100000</v>
      </c>
      <c r="M46" s="17">
        <f t="shared" si="50"/>
        <v>120000</v>
      </c>
      <c r="N46" s="17">
        <f t="shared" si="50"/>
        <v>120000</v>
      </c>
      <c r="O46" s="17">
        <f t="shared" si="50"/>
        <v>120000</v>
      </c>
      <c r="P46" s="17">
        <f t="shared" si="50"/>
        <v>120000</v>
      </c>
      <c r="Q46" s="17">
        <f t="shared" si="50"/>
        <v>140000</v>
      </c>
      <c r="R46" s="17">
        <f t="shared" si="50"/>
        <v>140000</v>
      </c>
      <c r="S46" s="17">
        <f t="shared" ref="S46:V46" si="51">+S8*2%</f>
        <v>160000</v>
      </c>
      <c r="T46" s="17">
        <f t="shared" si="51"/>
        <v>160000</v>
      </c>
      <c r="U46" s="17">
        <f t="shared" si="51"/>
        <v>160000</v>
      </c>
      <c r="V46" s="17">
        <f t="shared" si="51"/>
        <v>160000</v>
      </c>
    </row>
    <row r="47" spans="1:22" outlineLevel="1" x14ac:dyDescent="0.25">
      <c r="A47" s="4" t="s">
        <v>101</v>
      </c>
      <c r="B47" s="25"/>
      <c r="C47" s="25"/>
      <c r="D47" s="17"/>
      <c r="E47" s="17">
        <v>10000</v>
      </c>
      <c r="F47" s="17">
        <v>10000</v>
      </c>
      <c r="G47" s="17">
        <v>10000</v>
      </c>
      <c r="H47" s="17">
        <v>10000</v>
      </c>
      <c r="I47" s="17">
        <v>10000</v>
      </c>
      <c r="J47" s="17">
        <v>10000</v>
      </c>
      <c r="K47" s="17">
        <v>10000</v>
      </c>
      <c r="L47" s="17">
        <v>10000</v>
      </c>
      <c r="M47" s="17">
        <v>10000</v>
      </c>
      <c r="N47" s="17">
        <v>10000</v>
      </c>
      <c r="O47" s="17">
        <v>10000</v>
      </c>
      <c r="P47" s="17">
        <v>10000</v>
      </c>
      <c r="Q47" s="17">
        <v>10000</v>
      </c>
      <c r="R47" s="17">
        <v>10000</v>
      </c>
      <c r="S47" s="17">
        <v>10000</v>
      </c>
      <c r="T47" s="17">
        <v>10000</v>
      </c>
      <c r="U47" s="17">
        <v>10000</v>
      </c>
      <c r="V47" s="17">
        <v>10000</v>
      </c>
    </row>
    <row r="48" spans="1:22" x14ac:dyDescent="0.25">
      <c r="A48" s="111" t="s">
        <v>10</v>
      </c>
      <c r="B48" s="111"/>
      <c r="C48" s="111"/>
      <c r="D48" s="14">
        <f t="shared" ref="D48:J48" si="52">SUM(D42:D47)</f>
        <v>0</v>
      </c>
      <c r="E48" s="14">
        <f t="shared" si="52"/>
        <v>87500</v>
      </c>
      <c r="F48" s="14">
        <f t="shared" si="52"/>
        <v>123750</v>
      </c>
      <c r="G48" s="14">
        <f t="shared" si="52"/>
        <v>123750</v>
      </c>
      <c r="H48" s="14">
        <f t="shared" si="52"/>
        <v>123750</v>
      </c>
      <c r="I48" s="14">
        <f t="shared" si="52"/>
        <v>160000</v>
      </c>
      <c r="J48" s="14">
        <f t="shared" si="52"/>
        <v>160000</v>
      </c>
      <c r="K48" s="14">
        <f t="shared" ref="K48:R48" si="53">SUM(K42:K47)</f>
        <v>196250</v>
      </c>
      <c r="L48" s="14">
        <f t="shared" si="53"/>
        <v>196250</v>
      </c>
      <c r="M48" s="14">
        <f t="shared" si="53"/>
        <v>232500</v>
      </c>
      <c r="N48" s="14">
        <f t="shared" si="53"/>
        <v>232500</v>
      </c>
      <c r="O48" s="14">
        <f t="shared" si="53"/>
        <v>232500</v>
      </c>
      <c r="P48" s="14">
        <f t="shared" si="53"/>
        <v>232500</v>
      </c>
      <c r="Q48" s="14">
        <f t="shared" si="53"/>
        <v>268750</v>
      </c>
      <c r="R48" s="14">
        <f t="shared" si="53"/>
        <v>268750</v>
      </c>
      <c r="S48" s="14">
        <f t="shared" ref="S48:V48" si="54">SUM(S42:S47)</f>
        <v>305000</v>
      </c>
      <c r="T48" s="14">
        <f t="shared" si="54"/>
        <v>305000</v>
      </c>
      <c r="U48" s="14">
        <f t="shared" si="54"/>
        <v>305000</v>
      </c>
      <c r="V48" s="14">
        <f t="shared" si="54"/>
        <v>305000</v>
      </c>
    </row>
    <row r="49" spans="1:22" ht="15.75" outlineLevel="1" x14ac:dyDescent="0.25">
      <c r="A49" s="22" t="s">
        <v>15</v>
      </c>
      <c r="B49" s="23" t="s">
        <v>22</v>
      </c>
      <c r="C49" s="24" t="s">
        <v>23</v>
      </c>
      <c r="D49" s="119" t="s">
        <v>24</v>
      </c>
      <c r="E49" s="120"/>
      <c r="F49" s="120"/>
      <c r="G49" s="120"/>
      <c r="H49" s="120"/>
      <c r="I49" s="120"/>
      <c r="J49" s="120"/>
    </row>
    <row r="50" spans="1:22" outlineLevel="1" x14ac:dyDescent="0.25">
      <c r="A50" s="27" t="s">
        <v>54</v>
      </c>
      <c r="B50" s="37">
        <v>8775</v>
      </c>
      <c r="C50" s="28">
        <v>3.75</v>
      </c>
      <c r="D50" s="17"/>
      <c r="E50" s="17">
        <f t="shared" ref="E50:V50" si="55">$B50*$C50</f>
        <v>32906.25</v>
      </c>
      <c r="F50" s="17">
        <f t="shared" si="55"/>
        <v>32906.25</v>
      </c>
      <c r="G50" s="17">
        <f t="shared" si="55"/>
        <v>32906.25</v>
      </c>
      <c r="H50" s="17">
        <f t="shared" si="55"/>
        <v>32906.25</v>
      </c>
      <c r="I50" s="17">
        <f t="shared" si="55"/>
        <v>32906.25</v>
      </c>
      <c r="J50" s="17">
        <f t="shared" si="55"/>
        <v>32906.25</v>
      </c>
      <c r="K50" s="17">
        <f t="shared" si="55"/>
        <v>32906.25</v>
      </c>
      <c r="L50" s="17">
        <f t="shared" si="55"/>
        <v>32906.25</v>
      </c>
      <c r="M50" s="17">
        <f t="shared" si="55"/>
        <v>32906.25</v>
      </c>
      <c r="N50" s="17">
        <f t="shared" si="55"/>
        <v>32906.25</v>
      </c>
      <c r="O50" s="17">
        <f t="shared" si="55"/>
        <v>32906.25</v>
      </c>
      <c r="P50" s="17">
        <f t="shared" si="55"/>
        <v>32906.25</v>
      </c>
      <c r="Q50" s="17">
        <f t="shared" si="55"/>
        <v>32906.25</v>
      </c>
      <c r="R50" s="17">
        <f t="shared" si="55"/>
        <v>32906.25</v>
      </c>
      <c r="S50" s="17">
        <f t="shared" si="55"/>
        <v>32906.25</v>
      </c>
      <c r="T50" s="17">
        <f t="shared" si="55"/>
        <v>32906.25</v>
      </c>
      <c r="U50" s="17">
        <f t="shared" si="55"/>
        <v>32906.25</v>
      </c>
      <c r="V50" s="17">
        <f t="shared" si="55"/>
        <v>32906.25</v>
      </c>
    </row>
    <row r="51" spans="1:22" x14ac:dyDescent="0.25">
      <c r="A51" s="111" t="s">
        <v>15</v>
      </c>
      <c r="B51" s="112"/>
      <c r="C51" s="111"/>
      <c r="D51" s="29"/>
      <c r="E51" s="29">
        <f t="shared" ref="E51:J51" si="56">SUM(E50)</f>
        <v>32906.25</v>
      </c>
      <c r="F51" s="29">
        <f t="shared" si="56"/>
        <v>32906.25</v>
      </c>
      <c r="G51" s="29">
        <f t="shared" si="56"/>
        <v>32906.25</v>
      </c>
      <c r="H51" s="29">
        <f t="shared" si="56"/>
        <v>32906.25</v>
      </c>
      <c r="I51" s="29">
        <f t="shared" si="56"/>
        <v>32906.25</v>
      </c>
      <c r="J51" s="29">
        <f t="shared" si="56"/>
        <v>32906.25</v>
      </c>
      <c r="K51" s="29">
        <f t="shared" ref="K51:R51" si="57">SUM(K50)</f>
        <v>32906.25</v>
      </c>
      <c r="L51" s="29">
        <f t="shared" si="57"/>
        <v>32906.25</v>
      </c>
      <c r="M51" s="29">
        <f t="shared" si="57"/>
        <v>32906.25</v>
      </c>
      <c r="N51" s="29">
        <f t="shared" si="57"/>
        <v>32906.25</v>
      </c>
      <c r="O51" s="29">
        <f t="shared" si="57"/>
        <v>32906.25</v>
      </c>
      <c r="P51" s="29">
        <f t="shared" si="57"/>
        <v>32906.25</v>
      </c>
      <c r="Q51" s="29">
        <f t="shared" si="57"/>
        <v>32906.25</v>
      </c>
      <c r="R51" s="29">
        <f t="shared" si="57"/>
        <v>32906.25</v>
      </c>
      <c r="S51" s="29">
        <f t="shared" ref="S51:V51" si="58">SUM(S50)</f>
        <v>32906.25</v>
      </c>
      <c r="T51" s="29">
        <f t="shared" si="58"/>
        <v>32906.25</v>
      </c>
      <c r="U51" s="29">
        <f t="shared" si="58"/>
        <v>32906.25</v>
      </c>
      <c r="V51" s="29">
        <f t="shared" si="58"/>
        <v>32906.25</v>
      </c>
    </row>
    <row r="52" spans="1:22" ht="15.75" x14ac:dyDescent="0.25">
      <c r="A52" s="22" t="s">
        <v>1</v>
      </c>
      <c r="B52" s="23" t="s">
        <v>4</v>
      </c>
      <c r="C52" s="24" t="s">
        <v>25</v>
      </c>
      <c r="D52" s="121" t="s">
        <v>26</v>
      </c>
      <c r="E52" s="122"/>
      <c r="F52" s="122"/>
      <c r="G52" s="122"/>
      <c r="H52" s="122"/>
      <c r="I52" s="122"/>
      <c r="J52" s="122"/>
    </row>
    <row r="53" spans="1:22" outlineLevel="1" x14ac:dyDescent="0.25">
      <c r="A53" s="27"/>
      <c r="B53" s="25">
        <v>0</v>
      </c>
      <c r="C53" s="28">
        <v>0</v>
      </c>
      <c r="D53" s="17"/>
      <c r="E53" s="17">
        <v>5000</v>
      </c>
      <c r="F53" s="17">
        <f>+F8*0.35%</f>
        <v>10499.999999999998</v>
      </c>
      <c r="G53" s="17">
        <f t="shared" ref="G53:J53" si="59">+G8*0.35%</f>
        <v>10499.999999999998</v>
      </c>
      <c r="H53" s="17">
        <f t="shared" si="59"/>
        <v>10499.999999999998</v>
      </c>
      <c r="I53" s="17">
        <f t="shared" si="59"/>
        <v>13999.999999999998</v>
      </c>
      <c r="J53" s="17">
        <f t="shared" si="59"/>
        <v>13999.999999999998</v>
      </c>
      <c r="K53" s="17">
        <f t="shared" ref="K53:R53" si="60">+K8*0.35%</f>
        <v>17500</v>
      </c>
      <c r="L53" s="17">
        <f t="shared" si="60"/>
        <v>17500</v>
      </c>
      <c r="M53" s="17">
        <f t="shared" si="60"/>
        <v>20999.999999999996</v>
      </c>
      <c r="N53" s="17">
        <f t="shared" si="60"/>
        <v>20999.999999999996</v>
      </c>
      <c r="O53" s="17">
        <f t="shared" si="60"/>
        <v>20999.999999999996</v>
      </c>
      <c r="P53" s="17">
        <f t="shared" si="60"/>
        <v>20999.999999999996</v>
      </c>
      <c r="Q53" s="17">
        <f t="shared" si="60"/>
        <v>24499.999999999996</v>
      </c>
      <c r="R53" s="17">
        <f t="shared" si="60"/>
        <v>24499.999999999996</v>
      </c>
      <c r="S53" s="17">
        <f t="shared" ref="S53:V53" si="61">+S8*0.35%</f>
        <v>27999.999999999996</v>
      </c>
      <c r="T53" s="17">
        <f t="shared" si="61"/>
        <v>27999.999999999996</v>
      </c>
      <c r="U53" s="17">
        <f t="shared" si="61"/>
        <v>27999.999999999996</v>
      </c>
      <c r="V53" s="17">
        <f t="shared" si="61"/>
        <v>27999.999999999996</v>
      </c>
    </row>
    <row r="54" spans="1:22" outlineLevel="1" x14ac:dyDescent="0.25">
      <c r="A54" s="111" t="s">
        <v>27</v>
      </c>
      <c r="B54" s="112"/>
      <c r="C54" s="111"/>
      <c r="D54" s="29"/>
      <c r="E54" s="29">
        <f t="shared" ref="E54:H54" si="62">SUM(E53)</f>
        <v>5000</v>
      </c>
      <c r="F54" s="29">
        <f t="shared" si="62"/>
        <v>10499.999999999998</v>
      </c>
      <c r="G54" s="29">
        <f t="shared" si="62"/>
        <v>10499.999999999998</v>
      </c>
      <c r="H54" s="29">
        <f t="shared" si="62"/>
        <v>10499.999999999998</v>
      </c>
      <c r="I54" s="29">
        <f>SUM(I53)</f>
        <v>13999.999999999998</v>
      </c>
      <c r="J54" s="29">
        <f t="shared" ref="J54:K54" si="63">SUM(J53)</f>
        <v>13999.999999999998</v>
      </c>
      <c r="K54" s="29">
        <f t="shared" si="63"/>
        <v>17500</v>
      </c>
      <c r="L54" s="29">
        <f t="shared" ref="L54:R54" si="64">SUM(L53)</f>
        <v>17500</v>
      </c>
      <c r="M54" s="29">
        <f t="shared" si="64"/>
        <v>20999.999999999996</v>
      </c>
      <c r="N54" s="29">
        <f t="shared" si="64"/>
        <v>20999.999999999996</v>
      </c>
      <c r="O54" s="29">
        <f t="shared" si="64"/>
        <v>20999.999999999996</v>
      </c>
      <c r="P54" s="29">
        <f t="shared" si="64"/>
        <v>20999.999999999996</v>
      </c>
      <c r="Q54" s="29">
        <f t="shared" si="64"/>
        <v>24499.999999999996</v>
      </c>
      <c r="R54" s="29">
        <f t="shared" si="64"/>
        <v>24499.999999999996</v>
      </c>
      <c r="S54" s="29">
        <f t="shared" ref="S54:V54" si="65">SUM(S53)</f>
        <v>27999.999999999996</v>
      </c>
      <c r="T54" s="29">
        <f t="shared" si="65"/>
        <v>27999.999999999996</v>
      </c>
      <c r="U54" s="29">
        <f t="shared" si="65"/>
        <v>27999.999999999996</v>
      </c>
      <c r="V54" s="29">
        <f t="shared" si="65"/>
        <v>27999.999999999996</v>
      </c>
    </row>
    <row r="55" spans="1:22" ht="15.75" outlineLevel="1" x14ac:dyDescent="0.25">
      <c r="A55" s="22" t="s">
        <v>28</v>
      </c>
      <c r="B55" s="23" t="s">
        <v>4</v>
      </c>
      <c r="C55" s="24" t="s">
        <v>25</v>
      </c>
      <c r="D55" s="119" t="s">
        <v>29</v>
      </c>
      <c r="E55" s="120"/>
      <c r="F55" s="120"/>
      <c r="G55" s="120"/>
      <c r="H55" s="120"/>
      <c r="I55" s="120"/>
      <c r="J55" s="120"/>
    </row>
    <row r="56" spans="1:22" outlineLevel="1" x14ac:dyDescent="0.25">
      <c r="A56" s="30" t="s">
        <v>30</v>
      </c>
      <c r="B56" s="31">
        <v>1</v>
      </c>
      <c r="C56" s="13">
        <v>2000</v>
      </c>
      <c r="D56" s="32"/>
      <c r="E56" s="32">
        <v>2000</v>
      </c>
      <c r="F56" s="32">
        <v>2000</v>
      </c>
      <c r="G56" s="32">
        <v>2000</v>
      </c>
      <c r="H56" s="32">
        <v>2000</v>
      </c>
      <c r="I56" s="32">
        <v>2000</v>
      </c>
      <c r="J56" s="32">
        <v>2000</v>
      </c>
      <c r="K56" s="32">
        <v>2000</v>
      </c>
      <c r="L56" s="32">
        <v>2000</v>
      </c>
      <c r="M56" s="32">
        <v>2000</v>
      </c>
      <c r="N56" s="32">
        <v>2000</v>
      </c>
      <c r="O56" s="32">
        <v>2000</v>
      </c>
      <c r="P56" s="32">
        <v>2000</v>
      </c>
      <c r="Q56" s="32">
        <v>2000</v>
      </c>
      <c r="R56" s="32">
        <v>2000</v>
      </c>
      <c r="S56" s="32">
        <v>2000</v>
      </c>
      <c r="T56" s="32">
        <v>2000</v>
      </c>
      <c r="U56" s="32">
        <v>2000</v>
      </c>
      <c r="V56" s="32">
        <v>2000</v>
      </c>
    </row>
    <row r="57" spans="1:22" outlineLevel="1" x14ac:dyDescent="0.25">
      <c r="A57" s="30" t="s">
        <v>31</v>
      </c>
      <c r="B57" s="31">
        <v>1</v>
      </c>
      <c r="C57" s="13">
        <v>2000</v>
      </c>
      <c r="D57" s="32"/>
      <c r="E57" s="32">
        <f>$C57*$B57*1</f>
        <v>2000</v>
      </c>
      <c r="F57" s="32">
        <f t="shared" ref="F57:U59" si="66">$C57*$B57*1</f>
        <v>2000</v>
      </c>
      <c r="G57" s="32">
        <f t="shared" si="66"/>
        <v>2000</v>
      </c>
      <c r="H57" s="32">
        <f t="shared" si="66"/>
        <v>2000</v>
      </c>
      <c r="I57" s="32">
        <f t="shared" si="66"/>
        <v>2000</v>
      </c>
      <c r="J57" s="32">
        <f t="shared" si="66"/>
        <v>2000</v>
      </c>
      <c r="K57" s="32">
        <f t="shared" si="66"/>
        <v>2000</v>
      </c>
      <c r="L57" s="32">
        <f t="shared" si="66"/>
        <v>2000</v>
      </c>
      <c r="M57" s="32">
        <f t="shared" si="66"/>
        <v>2000</v>
      </c>
      <c r="N57" s="32">
        <f t="shared" si="66"/>
        <v>2000</v>
      </c>
      <c r="O57" s="32">
        <f t="shared" si="66"/>
        <v>2000</v>
      </c>
      <c r="P57" s="32">
        <f t="shared" si="66"/>
        <v>2000</v>
      </c>
      <c r="Q57" s="32">
        <f t="shared" si="66"/>
        <v>2000</v>
      </c>
      <c r="R57" s="32">
        <f t="shared" si="66"/>
        <v>2000</v>
      </c>
      <c r="S57" s="32">
        <f t="shared" si="66"/>
        <v>2000</v>
      </c>
      <c r="T57" s="32">
        <f t="shared" si="66"/>
        <v>2000</v>
      </c>
      <c r="U57" s="32">
        <f t="shared" si="66"/>
        <v>2000</v>
      </c>
      <c r="V57" s="32">
        <f t="shared" ref="S57:V59" si="67">$C57*$B57*1</f>
        <v>2000</v>
      </c>
    </row>
    <row r="58" spans="1:22" outlineLevel="1" x14ac:dyDescent="0.25">
      <c r="A58" s="30" t="s">
        <v>61</v>
      </c>
      <c r="B58" s="31">
        <v>1</v>
      </c>
      <c r="C58" s="13">
        <v>2000</v>
      </c>
      <c r="D58" s="32"/>
      <c r="E58" s="32">
        <f>$C58*$B58*1</f>
        <v>2000</v>
      </c>
      <c r="F58" s="32">
        <f t="shared" si="66"/>
        <v>2000</v>
      </c>
      <c r="G58" s="32">
        <f t="shared" si="66"/>
        <v>2000</v>
      </c>
      <c r="H58" s="32">
        <f t="shared" si="66"/>
        <v>2000</v>
      </c>
      <c r="I58" s="32">
        <f t="shared" si="66"/>
        <v>2000</v>
      </c>
      <c r="J58" s="32">
        <f t="shared" si="66"/>
        <v>2000</v>
      </c>
      <c r="K58" s="32">
        <f t="shared" si="66"/>
        <v>2000</v>
      </c>
      <c r="L58" s="32">
        <f t="shared" si="66"/>
        <v>2000</v>
      </c>
      <c r="M58" s="32">
        <f t="shared" si="66"/>
        <v>2000</v>
      </c>
      <c r="N58" s="32">
        <f t="shared" si="66"/>
        <v>2000</v>
      </c>
      <c r="O58" s="32">
        <f t="shared" si="66"/>
        <v>2000</v>
      </c>
      <c r="P58" s="32">
        <f t="shared" si="66"/>
        <v>2000</v>
      </c>
      <c r="Q58" s="32">
        <f t="shared" si="66"/>
        <v>2000</v>
      </c>
      <c r="R58" s="32">
        <f t="shared" si="66"/>
        <v>2000</v>
      </c>
      <c r="S58" s="32">
        <f t="shared" si="67"/>
        <v>2000</v>
      </c>
      <c r="T58" s="32">
        <f t="shared" si="67"/>
        <v>2000</v>
      </c>
      <c r="U58" s="32">
        <f t="shared" si="67"/>
        <v>2000</v>
      </c>
      <c r="V58" s="32">
        <f t="shared" si="67"/>
        <v>2000</v>
      </c>
    </row>
    <row r="59" spans="1:22" outlineLevel="1" x14ac:dyDescent="0.25">
      <c r="A59" s="30" t="s">
        <v>62</v>
      </c>
      <c r="B59" s="31">
        <v>1</v>
      </c>
      <c r="C59" s="13">
        <v>2500</v>
      </c>
      <c r="D59" s="32"/>
      <c r="E59" s="32">
        <f>$C59*$B59*1</f>
        <v>2500</v>
      </c>
      <c r="F59" s="32">
        <f t="shared" si="66"/>
        <v>2500</v>
      </c>
      <c r="G59" s="32">
        <f t="shared" si="66"/>
        <v>2500</v>
      </c>
      <c r="H59" s="32">
        <f t="shared" si="66"/>
        <v>2500</v>
      </c>
      <c r="I59" s="32">
        <f t="shared" si="66"/>
        <v>2500</v>
      </c>
      <c r="J59" s="32">
        <f t="shared" si="66"/>
        <v>2500</v>
      </c>
      <c r="K59" s="32">
        <f t="shared" si="66"/>
        <v>2500</v>
      </c>
      <c r="L59" s="32">
        <f t="shared" si="66"/>
        <v>2500</v>
      </c>
      <c r="M59" s="32">
        <f t="shared" si="66"/>
        <v>2500</v>
      </c>
      <c r="N59" s="32">
        <f t="shared" si="66"/>
        <v>2500</v>
      </c>
      <c r="O59" s="32">
        <f t="shared" si="66"/>
        <v>2500</v>
      </c>
      <c r="P59" s="32">
        <f t="shared" si="66"/>
        <v>2500</v>
      </c>
      <c r="Q59" s="32">
        <f t="shared" si="66"/>
        <v>2500</v>
      </c>
      <c r="R59" s="32">
        <f t="shared" si="66"/>
        <v>2500</v>
      </c>
      <c r="S59" s="32">
        <f t="shared" si="67"/>
        <v>2500</v>
      </c>
      <c r="T59" s="32">
        <f t="shared" si="67"/>
        <v>2500</v>
      </c>
      <c r="U59" s="32">
        <f t="shared" si="67"/>
        <v>2500</v>
      </c>
      <c r="V59" s="32">
        <f t="shared" si="67"/>
        <v>2500</v>
      </c>
    </row>
    <row r="60" spans="1:22" outlineLevel="1" x14ac:dyDescent="0.25">
      <c r="A60" s="30" t="s">
        <v>32</v>
      </c>
      <c r="B60" s="31">
        <v>1</v>
      </c>
      <c r="C60" s="13">
        <v>3000</v>
      </c>
      <c r="D60" s="32"/>
      <c r="E60" s="32">
        <v>2000</v>
      </c>
      <c r="F60" s="32">
        <v>2000</v>
      </c>
      <c r="G60" s="32">
        <v>2000</v>
      </c>
      <c r="H60" s="32">
        <v>2000</v>
      </c>
      <c r="I60" s="32">
        <v>2000</v>
      </c>
      <c r="J60" s="32">
        <v>2000</v>
      </c>
      <c r="K60" s="32">
        <v>2000</v>
      </c>
      <c r="L60" s="32">
        <v>2000</v>
      </c>
      <c r="M60" s="32">
        <v>2000</v>
      </c>
      <c r="N60" s="32">
        <v>2000</v>
      </c>
      <c r="O60" s="32">
        <v>2000</v>
      </c>
      <c r="P60" s="32">
        <v>2000</v>
      </c>
      <c r="Q60" s="32">
        <v>2000</v>
      </c>
      <c r="R60" s="32">
        <v>2000</v>
      </c>
      <c r="S60" s="32">
        <v>2000</v>
      </c>
      <c r="T60" s="32">
        <v>2000</v>
      </c>
      <c r="U60" s="32">
        <v>2000</v>
      </c>
      <c r="V60" s="32">
        <v>2000</v>
      </c>
    </row>
    <row r="61" spans="1:22" x14ac:dyDescent="0.25">
      <c r="A61" s="111" t="s">
        <v>28</v>
      </c>
      <c r="B61" s="111"/>
      <c r="C61" s="111"/>
      <c r="D61" s="29"/>
      <c r="E61" s="29">
        <f t="shared" ref="E61:G61" si="68">SUM(E56:E60)</f>
        <v>10500</v>
      </c>
      <c r="F61" s="29">
        <f t="shared" si="68"/>
        <v>10500</v>
      </c>
      <c r="G61" s="29">
        <f t="shared" si="68"/>
        <v>10500</v>
      </c>
      <c r="H61" s="29">
        <f t="shared" ref="H61" si="69">SUM(H56:H60)</f>
        <v>10500</v>
      </c>
      <c r="I61" s="29">
        <f t="shared" ref="I61:J61" si="70">SUM(I56:I60)</f>
        <v>10500</v>
      </c>
      <c r="J61" s="29">
        <f t="shared" si="70"/>
        <v>10500</v>
      </c>
      <c r="K61" s="29">
        <f t="shared" ref="K61:R61" si="71">SUM(K56:K60)</f>
        <v>10500</v>
      </c>
      <c r="L61" s="29">
        <f t="shared" si="71"/>
        <v>10500</v>
      </c>
      <c r="M61" s="29">
        <f t="shared" si="71"/>
        <v>10500</v>
      </c>
      <c r="N61" s="29">
        <f t="shared" si="71"/>
        <v>10500</v>
      </c>
      <c r="O61" s="29">
        <f t="shared" si="71"/>
        <v>10500</v>
      </c>
      <c r="P61" s="29">
        <f t="shared" si="71"/>
        <v>10500</v>
      </c>
      <c r="Q61" s="29">
        <f t="shared" si="71"/>
        <v>10500</v>
      </c>
      <c r="R61" s="29">
        <f t="shared" si="71"/>
        <v>10500</v>
      </c>
      <c r="S61" s="29">
        <f t="shared" ref="S61:V61" si="72">SUM(S56:S60)</f>
        <v>10500</v>
      </c>
      <c r="T61" s="29">
        <f t="shared" si="72"/>
        <v>10500</v>
      </c>
      <c r="U61" s="29">
        <f t="shared" si="72"/>
        <v>10500</v>
      </c>
      <c r="V61" s="29">
        <f t="shared" si="72"/>
        <v>10500</v>
      </c>
    </row>
    <row r="62" spans="1:22" ht="15.75" outlineLevel="1" x14ac:dyDescent="0.25">
      <c r="A62" s="22" t="s">
        <v>33</v>
      </c>
      <c r="B62" s="23" t="s">
        <v>4</v>
      </c>
      <c r="C62" s="24" t="s">
        <v>25</v>
      </c>
      <c r="D62" s="119" t="s">
        <v>34</v>
      </c>
      <c r="E62" s="120"/>
      <c r="F62" s="120"/>
      <c r="G62" s="120"/>
      <c r="H62" s="120"/>
      <c r="I62" s="120"/>
      <c r="J62" s="120"/>
    </row>
    <row r="63" spans="1:22" outlineLevel="1" x14ac:dyDescent="0.25">
      <c r="A63" s="33" t="s">
        <v>57</v>
      </c>
      <c r="B63" s="31">
        <v>1</v>
      </c>
      <c r="C63" s="13"/>
      <c r="D63" s="17"/>
      <c r="E63" s="17">
        <v>6000</v>
      </c>
      <c r="F63" s="17">
        <f t="shared" ref="F63:J63" si="73">+F8*0.5%</f>
        <v>15000</v>
      </c>
      <c r="G63" s="17">
        <f t="shared" si="73"/>
        <v>15000</v>
      </c>
      <c r="H63" s="17">
        <f t="shared" si="73"/>
        <v>15000</v>
      </c>
      <c r="I63" s="17">
        <f t="shared" si="73"/>
        <v>20000</v>
      </c>
      <c r="J63" s="17">
        <f t="shared" si="73"/>
        <v>20000</v>
      </c>
      <c r="K63" s="17">
        <f t="shared" ref="K63:R63" si="74">+K8*0.5%</f>
        <v>25000</v>
      </c>
      <c r="L63" s="17">
        <f t="shared" si="74"/>
        <v>25000</v>
      </c>
      <c r="M63" s="17">
        <f t="shared" si="74"/>
        <v>30000</v>
      </c>
      <c r="N63" s="17">
        <f t="shared" si="74"/>
        <v>30000</v>
      </c>
      <c r="O63" s="17">
        <f t="shared" si="74"/>
        <v>30000</v>
      </c>
      <c r="P63" s="17">
        <f t="shared" si="74"/>
        <v>30000</v>
      </c>
      <c r="Q63" s="17">
        <f t="shared" si="74"/>
        <v>35000</v>
      </c>
      <c r="R63" s="17">
        <f t="shared" si="74"/>
        <v>35000</v>
      </c>
      <c r="S63" s="17">
        <f t="shared" ref="S63:V63" si="75">+S8*0.5%</f>
        <v>40000</v>
      </c>
      <c r="T63" s="17">
        <f t="shared" si="75"/>
        <v>40000</v>
      </c>
      <c r="U63" s="17">
        <f t="shared" si="75"/>
        <v>40000</v>
      </c>
      <c r="V63" s="17">
        <f t="shared" si="75"/>
        <v>40000</v>
      </c>
    </row>
    <row r="64" spans="1:22" outlineLevel="1" x14ac:dyDescent="0.25">
      <c r="A64" s="33" t="s">
        <v>35</v>
      </c>
      <c r="B64" s="34" t="s">
        <v>56</v>
      </c>
      <c r="C64" s="13">
        <v>1450</v>
      </c>
      <c r="D64" s="17"/>
      <c r="E64" s="17">
        <f t="shared" ref="E64:V64" si="76">$C64*1</f>
        <v>1450</v>
      </c>
      <c r="F64" s="17">
        <f t="shared" si="76"/>
        <v>1450</v>
      </c>
      <c r="G64" s="17">
        <f t="shared" si="76"/>
        <v>1450</v>
      </c>
      <c r="H64" s="17">
        <f t="shared" si="76"/>
        <v>1450</v>
      </c>
      <c r="I64" s="17">
        <f t="shared" si="76"/>
        <v>1450</v>
      </c>
      <c r="J64" s="17">
        <f t="shared" si="76"/>
        <v>1450</v>
      </c>
      <c r="K64" s="17">
        <f t="shared" si="76"/>
        <v>1450</v>
      </c>
      <c r="L64" s="17">
        <f t="shared" si="76"/>
        <v>1450</v>
      </c>
      <c r="M64" s="17">
        <f t="shared" si="76"/>
        <v>1450</v>
      </c>
      <c r="N64" s="17">
        <f t="shared" si="76"/>
        <v>1450</v>
      </c>
      <c r="O64" s="17">
        <f t="shared" si="76"/>
        <v>1450</v>
      </c>
      <c r="P64" s="17">
        <f t="shared" si="76"/>
        <v>1450</v>
      </c>
      <c r="Q64" s="17">
        <f t="shared" si="76"/>
        <v>1450</v>
      </c>
      <c r="R64" s="17">
        <f t="shared" si="76"/>
        <v>1450</v>
      </c>
      <c r="S64" s="17">
        <f t="shared" si="76"/>
        <v>1450</v>
      </c>
      <c r="T64" s="17">
        <f t="shared" si="76"/>
        <v>1450</v>
      </c>
      <c r="U64" s="17">
        <f t="shared" si="76"/>
        <v>1450</v>
      </c>
      <c r="V64" s="17">
        <f t="shared" si="76"/>
        <v>1450</v>
      </c>
    </row>
    <row r="65" spans="1:22" outlineLevel="1" x14ac:dyDescent="0.25">
      <c r="A65" s="33" t="s">
        <v>58</v>
      </c>
      <c r="B65" s="31">
        <v>1</v>
      </c>
      <c r="C65" s="13">
        <v>6500</v>
      </c>
      <c r="D65" s="17"/>
      <c r="E65" s="17">
        <v>2000</v>
      </c>
      <c r="F65" s="17">
        <v>2000</v>
      </c>
      <c r="G65" s="17">
        <v>2000</v>
      </c>
      <c r="H65" s="17">
        <v>2000</v>
      </c>
      <c r="I65" s="17">
        <v>2000</v>
      </c>
      <c r="J65" s="17">
        <v>2000</v>
      </c>
      <c r="K65" s="17">
        <v>2000</v>
      </c>
      <c r="L65" s="17">
        <v>2000</v>
      </c>
      <c r="M65" s="17">
        <v>2000</v>
      </c>
      <c r="N65" s="17">
        <v>2000</v>
      </c>
      <c r="O65" s="17">
        <v>2000</v>
      </c>
      <c r="P65" s="17">
        <v>2000</v>
      </c>
      <c r="Q65" s="17">
        <v>2000</v>
      </c>
      <c r="R65" s="17">
        <v>2000</v>
      </c>
      <c r="S65" s="17">
        <v>2000</v>
      </c>
      <c r="T65" s="17">
        <v>2000</v>
      </c>
      <c r="U65" s="17">
        <v>2000</v>
      </c>
      <c r="V65" s="17">
        <v>2000</v>
      </c>
    </row>
    <row r="66" spans="1:22" outlineLevel="1" x14ac:dyDescent="0.25">
      <c r="A66" s="33" t="s">
        <v>73</v>
      </c>
      <c r="B66" s="31">
        <v>1</v>
      </c>
      <c r="C66" s="13"/>
      <c r="D66" s="17"/>
      <c r="E66" s="17">
        <v>2500</v>
      </c>
      <c r="F66" s="17">
        <f>+F8*0.125%</f>
        <v>3750</v>
      </c>
      <c r="G66" s="17">
        <f t="shared" ref="G66:J66" si="77">+G8*0.125%</f>
        <v>3750</v>
      </c>
      <c r="H66" s="17">
        <f t="shared" si="77"/>
        <v>3750</v>
      </c>
      <c r="I66" s="17">
        <f t="shared" si="77"/>
        <v>5000</v>
      </c>
      <c r="J66" s="17">
        <f t="shared" si="77"/>
        <v>5000</v>
      </c>
      <c r="K66" s="17">
        <f t="shared" ref="K66:R66" si="78">+K8*0.125%</f>
        <v>6250</v>
      </c>
      <c r="L66" s="17">
        <f t="shared" si="78"/>
        <v>6250</v>
      </c>
      <c r="M66" s="17">
        <f t="shared" si="78"/>
        <v>7500</v>
      </c>
      <c r="N66" s="17">
        <f t="shared" si="78"/>
        <v>7500</v>
      </c>
      <c r="O66" s="17">
        <f t="shared" si="78"/>
        <v>7500</v>
      </c>
      <c r="P66" s="17">
        <f t="shared" si="78"/>
        <v>7500</v>
      </c>
      <c r="Q66" s="17">
        <f t="shared" si="78"/>
        <v>8750</v>
      </c>
      <c r="R66" s="17">
        <f t="shared" si="78"/>
        <v>8750</v>
      </c>
      <c r="S66" s="17">
        <f t="shared" ref="S66:V66" si="79">+S8*0.125%</f>
        <v>10000</v>
      </c>
      <c r="T66" s="17">
        <f t="shared" si="79"/>
        <v>10000</v>
      </c>
      <c r="U66" s="17">
        <f t="shared" si="79"/>
        <v>10000</v>
      </c>
      <c r="V66" s="17">
        <f t="shared" si="79"/>
        <v>10000</v>
      </c>
    </row>
    <row r="67" spans="1:22" x14ac:dyDescent="0.25">
      <c r="A67" s="111" t="s">
        <v>36</v>
      </c>
      <c r="B67" s="111"/>
      <c r="C67" s="111"/>
      <c r="D67" s="14"/>
      <c r="E67" s="14">
        <f t="shared" ref="E67:J67" si="80">SUM(E63:E66)</f>
        <v>11950</v>
      </c>
      <c r="F67" s="14">
        <f t="shared" si="80"/>
        <v>22200</v>
      </c>
      <c r="G67" s="14">
        <f t="shared" si="80"/>
        <v>22200</v>
      </c>
      <c r="H67" s="14">
        <f t="shared" si="80"/>
        <v>22200</v>
      </c>
      <c r="I67" s="14">
        <f t="shared" si="80"/>
        <v>28450</v>
      </c>
      <c r="J67" s="14">
        <f t="shared" si="80"/>
        <v>28450</v>
      </c>
      <c r="K67" s="14">
        <f t="shared" ref="K67:R67" si="81">SUM(K63:K66)</f>
        <v>34700</v>
      </c>
      <c r="L67" s="14">
        <f t="shared" si="81"/>
        <v>34700</v>
      </c>
      <c r="M67" s="14">
        <f t="shared" si="81"/>
        <v>40950</v>
      </c>
      <c r="N67" s="14">
        <f t="shared" si="81"/>
        <v>40950</v>
      </c>
      <c r="O67" s="14">
        <f t="shared" si="81"/>
        <v>40950</v>
      </c>
      <c r="P67" s="14">
        <f t="shared" si="81"/>
        <v>40950</v>
      </c>
      <c r="Q67" s="14">
        <f t="shared" si="81"/>
        <v>47200</v>
      </c>
      <c r="R67" s="14">
        <f t="shared" si="81"/>
        <v>47200</v>
      </c>
      <c r="S67" s="14">
        <f t="shared" ref="S67:V67" si="82">SUM(S63:S66)</f>
        <v>53450</v>
      </c>
      <c r="T67" s="14">
        <f t="shared" si="82"/>
        <v>53450</v>
      </c>
      <c r="U67" s="14">
        <f t="shared" si="82"/>
        <v>53450</v>
      </c>
      <c r="V67" s="14">
        <f t="shared" si="82"/>
        <v>53450</v>
      </c>
    </row>
    <row r="68" spans="1:22" ht="15.75" outlineLevel="1" x14ac:dyDescent="0.25">
      <c r="A68" s="22" t="s">
        <v>75</v>
      </c>
      <c r="B68" s="23" t="s">
        <v>4</v>
      </c>
      <c r="C68" s="24" t="s">
        <v>25</v>
      </c>
      <c r="D68" s="119" t="s">
        <v>37</v>
      </c>
      <c r="E68" s="120"/>
      <c r="F68" s="120"/>
      <c r="G68" s="120"/>
      <c r="H68" s="120"/>
      <c r="I68" s="120"/>
      <c r="J68" s="120"/>
    </row>
    <row r="69" spans="1:22" outlineLevel="1" x14ac:dyDescent="0.25">
      <c r="A69" s="33" t="s">
        <v>59</v>
      </c>
      <c r="B69" s="34">
        <v>1</v>
      </c>
      <c r="C69" s="35">
        <v>7000</v>
      </c>
      <c r="D69" s="17"/>
      <c r="E69" s="17">
        <f>$B69*$C69/12</f>
        <v>583.33333333333337</v>
      </c>
      <c r="F69" s="17">
        <f t="shared" ref="F69:V69" si="83">$B69*$C69/12</f>
        <v>583.33333333333337</v>
      </c>
      <c r="G69" s="17">
        <f t="shared" si="83"/>
        <v>583.33333333333337</v>
      </c>
      <c r="H69" s="17">
        <f t="shared" si="83"/>
        <v>583.33333333333337</v>
      </c>
      <c r="I69" s="17">
        <f t="shared" si="83"/>
        <v>583.33333333333337</v>
      </c>
      <c r="J69" s="17">
        <f t="shared" si="83"/>
        <v>583.33333333333337</v>
      </c>
      <c r="K69" s="17">
        <f t="shared" si="83"/>
        <v>583.33333333333337</v>
      </c>
      <c r="L69" s="17">
        <f t="shared" si="83"/>
        <v>583.33333333333337</v>
      </c>
      <c r="M69" s="17">
        <f t="shared" si="83"/>
        <v>583.33333333333337</v>
      </c>
      <c r="N69" s="17">
        <f t="shared" si="83"/>
        <v>583.33333333333337</v>
      </c>
      <c r="O69" s="17">
        <f t="shared" si="83"/>
        <v>583.33333333333337</v>
      </c>
      <c r="P69" s="17">
        <f t="shared" si="83"/>
        <v>583.33333333333337</v>
      </c>
      <c r="Q69" s="17">
        <f t="shared" si="83"/>
        <v>583.33333333333337</v>
      </c>
      <c r="R69" s="17">
        <f t="shared" si="83"/>
        <v>583.33333333333337</v>
      </c>
      <c r="S69" s="17">
        <f t="shared" si="83"/>
        <v>583.33333333333337</v>
      </c>
      <c r="T69" s="17">
        <f t="shared" si="83"/>
        <v>583.33333333333337</v>
      </c>
      <c r="U69" s="17">
        <f t="shared" si="83"/>
        <v>583.33333333333337</v>
      </c>
      <c r="V69" s="17">
        <f t="shared" si="83"/>
        <v>583.33333333333337</v>
      </c>
    </row>
    <row r="70" spans="1:22" outlineLevel="1" x14ac:dyDescent="0.25">
      <c r="A70" s="33" t="s">
        <v>60</v>
      </c>
      <c r="B70" s="34">
        <v>1</v>
      </c>
      <c r="C70" s="35">
        <v>7000</v>
      </c>
      <c r="D70" s="17"/>
      <c r="E70" s="17">
        <f t="shared" ref="E70:V70" si="84">+$C$70/12</f>
        <v>583.33333333333337</v>
      </c>
      <c r="F70" s="17">
        <f t="shared" si="84"/>
        <v>583.33333333333337</v>
      </c>
      <c r="G70" s="17">
        <f t="shared" si="84"/>
        <v>583.33333333333337</v>
      </c>
      <c r="H70" s="17">
        <f t="shared" si="84"/>
        <v>583.33333333333337</v>
      </c>
      <c r="I70" s="17">
        <f t="shared" si="84"/>
        <v>583.33333333333337</v>
      </c>
      <c r="J70" s="17">
        <f t="shared" si="84"/>
        <v>583.33333333333337</v>
      </c>
      <c r="K70" s="17">
        <f t="shared" si="84"/>
        <v>583.33333333333337</v>
      </c>
      <c r="L70" s="17">
        <f t="shared" si="84"/>
        <v>583.33333333333337</v>
      </c>
      <c r="M70" s="17">
        <f t="shared" si="84"/>
        <v>583.33333333333337</v>
      </c>
      <c r="N70" s="17">
        <f t="shared" si="84"/>
        <v>583.33333333333337</v>
      </c>
      <c r="O70" s="17">
        <f t="shared" si="84"/>
        <v>583.33333333333337</v>
      </c>
      <c r="P70" s="17">
        <f t="shared" si="84"/>
        <v>583.33333333333337</v>
      </c>
      <c r="Q70" s="17">
        <f t="shared" si="84"/>
        <v>583.33333333333337</v>
      </c>
      <c r="R70" s="17">
        <f t="shared" si="84"/>
        <v>583.33333333333337</v>
      </c>
      <c r="S70" s="17">
        <f t="shared" si="84"/>
        <v>583.33333333333337</v>
      </c>
      <c r="T70" s="17">
        <f t="shared" si="84"/>
        <v>583.33333333333337</v>
      </c>
      <c r="U70" s="17">
        <f t="shared" si="84"/>
        <v>583.33333333333337</v>
      </c>
      <c r="V70" s="17">
        <f t="shared" si="84"/>
        <v>583.33333333333337</v>
      </c>
    </row>
    <row r="71" spans="1:22" outlineLevel="1" x14ac:dyDescent="0.25">
      <c r="A71" s="33" t="s">
        <v>76</v>
      </c>
      <c r="B71" s="34" t="s">
        <v>77</v>
      </c>
      <c r="C71" s="35">
        <v>10000</v>
      </c>
      <c r="D71" s="17"/>
      <c r="E71" s="17">
        <f t="shared" ref="E71:V71" si="85">+$C$71/6</f>
        <v>1666.6666666666667</v>
      </c>
      <c r="F71" s="17">
        <f t="shared" si="85"/>
        <v>1666.6666666666667</v>
      </c>
      <c r="G71" s="17">
        <f t="shared" si="85"/>
        <v>1666.6666666666667</v>
      </c>
      <c r="H71" s="17">
        <f t="shared" si="85"/>
        <v>1666.6666666666667</v>
      </c>
      <c r="I71" s="17">
        <f t="shared" si="85"/>
        <v>1666.6666666666667</v>
      </c>
      <c r="J71" s="17">
        <f t="shared" si="85"/>
        <v>1666.6666666666667</v>
      </c>
      <c r="K71" s="17">
        <f t="shared" si="85"/>
        <v>1666.6666666666667</v>
      </c>
      <c r="L71" s="17">
        <f t="shared" si="85"/>
        <v>1666.6666666666667</v>
      </c>
      <c r="M71" s="17">
        <f t="shared" si="85"/>
        <v>1666.6666666666667</v>
      </c>
      <c r="N71" s="17">
        <f t="shared" si="85"/>
        <v>1666.6666666666667</v>
      </c>
      <c r="O71" s="17">
        <f t="shared" si="85"/>
        <v>1666.6666666666667</v>
      </c>
      <c r="P71" s="17">
        <f t="shared" si="85"/>
        <v>1666.6666666666667</v>
      </c>
      <c r="Q71" s="17">
        <f t="shared" si="85"/>
        <v>1666.6666666666667</v>
      </c>
      <c r="R71" s="17">
        <f t="shared" si="85"/>
        <v>1666.6666666666667</v>
      </c>
      <c r="S71" s="17">
        <f t="shared" si="85"/>
        <v>1666.6666666666667</v>
      </c>
      <c r="T71" s="17">
        <f t="shared" si="85"/>
        <v>1666.6666666666667</v>
      </c>
      <c r="U71" s="17">
        <f t="shared" si="85"/>
        <v>1666.6666666666667</v>
      </c>
      <c r="V71" s="17">
        <f t="shared" si="85"/>
        <v>1666.6666666666667</v>
      </c>
    </row>
    <row r="72" spans="1:22" outlineLevel="1" x14ac:dyDescent="0.25">
      <c r="A72" s="33" t="s">
        <v>78</v>
      </c>
      <c r="B72" s="34" t="s">
        <v>77</v>
      </c>
      <c r="C72" s="35">
        <v>25000</v>
      </c>
      <c r="D72" s="17"/>
      <c r="E72" s="17">
        <f t="shared" ref="E72:V72" si="86">+$C$72/6</f>
        <v>4166.666666666667</v>
      </c>
      <c r="F72" s="17">
        <f t="shared" si="86"/>
        <v>4166.666666666667</v>
      </c>
      <c r="G72" s="17">
        <f t="shared" si="86"/>
        <v>4166.666666666667</v>
      </c>
      <c r="H72" s="17">
        <f t="shared" si="86"/>
        <v>4166.666666666667</v>
      </c>
      <c r="I72" s="17">
        <f t="shared" si="86"/>
        <v>4166.666666666667</v>
      </c>
      <c r="J72" s="17">
        <f t="shared" si="86"/>
        <v>4166.666666666667</v>
      </c>
      <c r="K72" s="17">
        <f t="shared" si="86"/>
        <v>4166.666666666667</v>
      </c>
      <c r="L72" s="17">
        <f t="shared" si="86"/>
        <v>4166.666666666667</v>
      </c>
      <c r="M72" s="17">
        <f t="shared" si="86"/>
        <v>4166.666666666667</v>
      </c>
      <c r="N72" s="17">
        <f t="shared" si="86"/>
        <v>4166.666666666667</v>
      </c>
      <c r="O72" s="17">
        <f t="shared" si="86"/>
        <v>4166.666666666667</v>
      </c>
      <c r="P72" s="17">
        <f t="shared" si="86"/>
        <v>4166.666666666667</v>
      </c>
      <c r="Q72" s="17">
        <f t="shared" si="86"/>
        <v>4166.666666666667</v>
      </c>
      <c r="R72" s="17">
        <f t="shared" si="86"/>
        <v>4166.666666666667</v>
      </c>
      <c r="S72" s="17">
        <f t="shared" si="86"/>
        <v>4166.666666666667</v>
      </c>
      <c r="T72" s="17">
        <f t="shared" si="86"/>
        <v>4166.666666666667</v>
      </c>
      <c r="U72" s="17">
        <f t="shared" si="86"/>
        <v>4166.666666666667</v>
      </c>
      <c r="V72" s="17">
        <f t="shared" si="86"/>
        <v>4166.666666666667</v>
      </c>
    </row>
    <row r="73" spans="1:22" outlineLevel="1" x14ac:dyDescent="0.25">
      <c r="A73" s="33" t="s">
        <v>102</v>
      </c>
      <c r="B73" s="34" t="s">
        <v>77</v>
      </c>
      <c r="C73" s="35">
        <v>6000</v>
      </c>
      <c r="D73" s="17"/>
      <c r="E73" s="17">
        <v>300</v>
      </c>
      <c r="F73" s="17">
        <v>300</v>
      </c>
      <c r="G73" s="17">
        <v>300</v>
      </c>
      <c r="H73" s="17">
        <v>300</v>
      </c>
      <c r="I73" s="17">
        <v>300</v>
      </c>
      <c r="J73" s="17">
        <v>300</v>
      </c>
      <c r="K73" s="17">
        <v>300</v>
      </c>
      <c r="L73" s="17">
        <v>300</v>
      </c>
      <c r="M73" s="17">
        <v>300</v>
      </c>
      <c r="N73" s="17">
        <v>300</v>
      </c>
      <c r="O73" s="17">
        <v>300</v>
      </c>
      <c r="P73" s="17">
        <v>300</v>
      </c>
      <c r="Q73" s="17">
        <v>300</v>
      </c>
      <c r="R73" s="17">
        <v>300</v>
      </c>
      <c r="S73" s="17">
        <v>300</v>
      </c>
      <c r="T73" s="17">
        <v>300</v>
      </c>
      <c r="U73" s="17">
        <v>300</v>
      </c>
      <c r="V73" s="17">
        <v>300</v>
      </c>
    </row>
    <row r="74" spans="1:22" x14ac:dyDescent="0.25">
      <c r="A74" s="111" t="s">
        <v>17</v>
      </c>
      <c r="B74" s="111"/>
      <c r="C74" s="111"/>
      <c r="D74" s="29"/>
      <c r="E74" s="29">
        <f t="shared" ref="E74:J74" si="87">SUM(E69:E73)</f>
        <v>7300</v>
      </c>
      <c r="F74" s="29">
        <f t="shared" si="87"/>
        <v>7300</v>
      </c>
      <c r="G74" s="29">
        <f t="shared" si="87"/>
        <v>7300</v>
      </c>
      <c r="H74" s="29">
        <f t="shared" si="87"/>
        <v>7300</v>
      </c>
      <c r="I74" s="29">
        <f t="shared" si="87"/>
        <v>7300</v>
      </c>
      <c r="J74" s="29">
        <f t="shared" si="87"/>
        <v>7300</v>
      </c>
      <c r="K74" s="29">
        <f t="shared" ref="K74:R74" si="88">SUM(K69:K73)</f>
        <v>7300</v>
      </c>
      <c r="L74" s="29">
        <f t="shared" si="88"/>
        <v>7300</v>
      </c>
      <c r="M74" s="29">
        <f t="shared" si="88"/>
        <v>7300</v>
      </c>
      <c r="N74" s="29">
        <f t="shared" si="88"/>
        <v>7300</v>
      </c>
      <c r="O74" s="29">
        <f t="shared" si="88"/>
        <v>7300</v>
      </c>
      <c r="P74" s="29">
        <f t="shared" si="88"/>
        <v>7300</v>
      </c>
      <c r="Q74" s="29">
        <f t="shared" si="88"/>
        <v>7300</v>
      </c>
      <c r="R74" s="29">
        <f t="shared" si="88"/>
        <v>7300</v>
      </c>
      <c r="S74" s="29">
        <f t="shared" ref="S74:V74" si="89">SUM(S69:S73)</f>
        <v>7300</v>
      </c>
      <c r="T74" s="29">
        <f t="shared" si="89"/>
        <v>7300</v>
      </c>
      <c r="U74" s="29">
        <f t="shared" si="89"/>
        <v>7300</v>
      </c>
      <c r="V74" s="29">
        <f t="shared" si="89"/>
        <v>7300</v>
      </c>
    </row>
    <row r="75" spans="1:22" x14ac:dyDescent="0.25">
      <c r="A75" s="124" t="s">
        <v>103</v>
      </c>
      <c r="B75" s="124"/>
      <c r="C75" s="124"/>
      <c r="D75" s="36"/>
      <c r="E75" s="36">
        <f t="shared" ref="E75:J75" si="90">E40+E48+E51+E54+E61+E67+E74</f>
        <v>259890.91666666669</v>
      </c>
      <c r="F75" s="36">
        <f t="shared" si="90"/>
        <v>311890.91666666669</v>
      </c>
      <c r="G75" s="36">
        <f t="shared" si="90"/>
        <v>311890.91666666669</v>
      </c>
      <c r="H75" s="36">
        <f t="shared" si="90"/>
        <v>311890.91666666669</v>
      </c>
      <c r="I75" s="36">
        <f t="shared" si="90"/>
        <v>357890.91666666669</v>
      </c>
      <c r="J75" s="36">
        <f t="shared" si="90"/>
        <v>357890.91666666669</v>
      </c>
      <c r="K75" s="36">
        <f t="shared" ref="K75:R75" si="91">K40+K48+K51+K54+K61+K67+K74</f>
        <v>403890.91666666669</v>
      </c>
      <c r="L75" s="36">
        <f t="shared" si="91"/>
        <v>403890.91666666669</v>
      </c>
      <c r="M75" s="36">
        <f t="shared" si="91"/>
        <v>449890.91666666669</v>
      </c>
      <c r="N75" s="36">
        <f t="shared" si="91"/>
        <v>449890.91666666669</v>
      </c>
      <c r="O75" s="36">
        <f t="shared" si="91"/>
        <v>449890.91666666669</v>
      </c>
      <c r="P75" s="36">
        <f t="shared" si="91"/>
        <v>449890.91666666669</v>
      </c>
      <c r="Q75" s="36">
        <f t="shared" si="91"/>
        <v>495890.91666666669</v>
      </c>
      <c r="R75" s="36">
        <f t="shared" si="91"/>
        <v>495890.91666666669</v>
      </c>
      <c r="S75" s="36">
        <f t="shared" ref="S75:V75" si="92">S40+S48+S51+S54+S61+S67+S74</f>
        <v>541890.91666666674</v>
      </c>
      <c r="T75" s="36">
        <f t="shared" si="92"/>
        <v>541890.91666666674</v>
      </c>
      <c r="U75" s="36">
        <f t="shared" si="92"/>
        <v>541890.91666666674</v>
      </c>
      <c r="V75" s="36">
        <f t="shared" si="92"/>
        <v>541890.91666666674</v>
      </c>
    </row>
    <row r="76" spans="1:22" ht="16.5" thickBot="1" x14ac:dyDescent="0.3">
      <c r="A76" s="123" t="s">
        <v>104</v>
      </c>
      <c r="B76" s="123"/>
      <c r="C76" s="123"/>
      <c r="D76" s="19"/>
      <c r="E76" s="19">
        <f t="shared" ref="E76:J76" si="93">E17-E75</f>
        <v>200109.08333333331</v>
      </c>
      <c r="F76" s="19">
        <f t="shared" si="93"/>
        <v>378109.08333333331</v>
      </c>
      <c r="G76" s="19">
        <f t="shared" si="93"/>
        <v>378109.08333333331</v>
      </c>
      <c r="H76" s="19">
        <f t="shared" si="93"/>
        <v>378109.08333333331</v>
      </c>
      <c r="I76" s="19">
        <f t="shared" si="93"/>
        <v>562109.08333333326</v>
      </c>
      <c r="J76" s="19">
        <f t="shared" si="93"/>
        <v>562109.08333333326</v>
      </c>
      <c r="K76" s="19">
        <f t="shared" ref="K76:R76" si="94">K17-K75</f>
        <v>746109.08333333326</v>
      </c>
      <c r="L76" s="19">
        <f t="shared" si="94"/>
        <v>746109.08333333326</v>
      </c>
      <c r="M76" s="19">
        <f t="shared" si="94"/>
        <v>930109.08333333326</v>
      </c>
      <c r="N76" s="19">
        <f t="shared" si="94"/>
        <v>930109.08333333326</v>
      </c>
      <c r="O76" s="19">
        <f t="shared" si="94"/>
        <v>930109.08333333326</v>
      </c>
      <c r="P76" s="19">
        <f t="shared" si="94"/>
        <v>930109.08333333326</v>
      </c>
      <c r="Q76" s="19">
        <f t="shared" si="94"/>
        <v>1114109.0833333333</v>
      </c>
      <c r="R76" s="19">
        <f t="shared" si="94"/>
        <v>1114109.0833333333</v>
      </c>
      <c r="S76" s="19">
        <f t="shared" ref="S76:V76" si="95">S17-S75</f>
        <v>1298109.0833333333</v>
      </c>
      <c r="T76" s="19">
        <f t="shared" si="95"/>
        <v>1298109.0833333333</v>
      </c>
      <c r="U76" s="19">
        <f t="shared" si="95"/>
        <v>1298109.0833333333</v>
      </c>
      <c r="V76" s="19">
        <f t="shared" si="95"/>
        <v>1298109.0833333333</v>
      </c>
    </row>
    <row r="77" spans="1:22" ht="15.75" thickTop="1" x14ac:dyDescent="0.25">
      <c r="A77" t="s">
        <v>105</v>
      </c>
      <c r="D77" s="26"/>
      <c r="E77" s="26">
        <f t="shared" ref="E77:J77" si="96">+E76/E8</f>
        <v>0.10005454166666666</v>
      </c>
      <c r="F77" s="26">
        <f t="shared" si="96"/>
        <v>0.12603636111111111</v>
      </c>
      <c r="G77" s="26">
        <f t="shared" si="96"/>
        <v>0.12603636111111111</v>
      </c>
      <c r="H77" s="26">
        <f t="shared" si="96"/>
        <v>0.12603636111111111</v>
      </c>
      <c r="I77" s="26">
        <f t="shared" si="96"/>
        <v>0.1405272708333333</v>
      </c>
      <c r="J77" s="26">
        <f t="shared" si="96"/>
        <v>0.1405272708333333</v>
      </c>
      <c r="K77" s="26">
        <f t="shared" ref="K77:R77" si="97">+K76/K8</f>
        <v>0.14922181666666665</v>
      </c>
      <c r="L77" s="26">
        <f t="shared" si="97"/>
        <v>0.14922181666666665</v>
      </c>
      <c r="M77" s="26">
        <f t="shared" si="97"/>
        <v>0.15501818055555555</v>
      </c>
      <c r="N77" s="26">
        <f t="shared" si="97"/>
        <v>0.15501818055555555</v>
      </c>
      <c r="O77" s="26">
        <f t="shared" si="97"/>
        <v>0.15501818055555555</v>
      </c>
      <c r="P77" s="26">
        <f t="shared" si="97"/>
        <v>0.15501818055555555</v>
      </c>
      <c r="Q77" s="26">
        <f t="shared" si="97"/>
        <v>0.15915844047619046</v>
      </c>
      <c r="R77" s="26">
        <f t="shared" si="97"/>
        <v>0.15915844047619046</v>
      </c>
      <c r="S77" s="26">
        <f t="shared" ref="S77:V77" si="98">+S76/S8</f>
        <v>0.16226363541666666</v>
      </c>
      <c r="T77" s="26">
        <f t="shared" si="98"/>
        <v>0.16226363541666666</v>
      </c>
      <c r="U77" s="26">
        <f t="shared" si="98"/>
        <v>0.16226363541666666</v>
      </c>
      <c r="V77" s="26">
        <f t="shared" si="98"/>
        <v>0.16226363541666666</v>
      </c>
    </row>
    <row r="79" spans="1:22" outlineLevel="1" x14ac:dyDescent="0.25">
      <c r="A79" s="33" t="s">
        <v>124</v>
      </c>
      <c r="B79" s="34"/>
      <c r="C79" s="35"/>
      <c r="D79" s="17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</row>
    <row r="80" spans="1:22" outlineLevel="1" x14ac:dyDescent="0.25">
      <c r="A80" s="33" t="s">
        <v>79</v>
      </c>
      <c r="B80" s="34"/>
      <c r="C80" s="35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</row>
    <row r="81" spans="1:22" ht="16.5" thickBot="1" x14ac:dyDescent="0.3">
      <c r="A81" s="123" t="s">
        <v>106</v>
      </c>
      <c r="B81" s="123"/>
      <c r="C81" s="123"/>
      <c r="D81" s="109"/>
      <c r="E81" s="110">
        <f>+E76-E79-E80</f>
        <v>200109.08333333331</v>
      </c>
      <c r="F81" s="110">
        <f>+F76-F79-F80</f>
        <v>378109.08333333331</v>
      </c>
      <c r="G81" s="110">
        <f>+G76-G79-G80</f>
        <v>378109.08333333331</v>
      </c>
      <c r="H81" s="110">
        <f>+H76-H79-H80</f>
        <v>378109.08333333331</v>
      </c>
      <c r="I81" s="110">
        <f>+I76-I79-I80</f>
        <v>562109.08333333326</v>
      </c>
      <c r="J81" s="110">
        <f>+J76-J79-J80</f>
        <v>562109.08333333326</v>
      </c>
      <c r="K81" s="110">
        <f>+K76-K79-K80</f>
        <v>746109.08333333326</v>
      </c>
      <c r="L81" s="110">
        <f>+L76-L79-L80</f>
        <v>746109.08333333326</v>
      </c>
      <c r="M81" s="110">
        <f>+M76-M79-M80</f>
        <v>930109.08333333326</v>
      </c>
      <c r="N81" s="110">
        <f>+N76-N79-N80</f>
        <v>930109.08333333326</v>
      </c>
      <c r="O81" s="110">
        <f>+O76-O79-O80</f>
        <v>930109.08333333326</v>
      </c>
      <c r="P81" s="110">
        <f>+P76-P79-P80</f>
        <v>930109.08333333326</v>
      </c>
      <c r="Q81" s="110">
        <f>+Q76-Q79-Q80</f>
        <v>1114109.0833333333</v>
      </c>
      <c r="R81" s="110">
        <f>+R76-R79-R80</f>
        <v>1114109.0833333333</v>
      </c>
      <c r="S81" s="110">
        <f>+S76-S79-S80</f>
        <v>1298109.0833333333</v>
      </c>
      <c r="T81" s="110">
        <f>+T76-T79-T80</f>
        <v>1298109.0833333333</v>
      </c>
      <c r="U81" s="110">
        <f>+U76-U79-U80</f>
        <v>1298109.0833333333</v>
      </c>
      <c r="V81" s="110">
        <f>+V76-V79-V80</f>
        <v>1298109.0833333333</v>
      </c>
    </row>
    <row r="82" spans="1:22" ht="15.75" thickTop="1" x14ac:dyDescent="0.25">
      <c r="A82" t="s">
        <v>107</v>
      </c>
      <c r="E82" s="26">
        <f>+E81/E8</f>
        <v>0.10005454166666666</v>
      </c>
      <c r="F82" s="26">
        <f>+F81/F8</f>
        <v>0.12603636111111111</v>
      </c>
      <c r="G82" s="26">
        <f>+G81/G8</f>
        <v>0.12603636111111111</v>
      </c>
      <c r="H82" s="26">
        <f>+H81/H8</f>
        <v>0.12603636111111111</v>
      </c>
      <c r="I82" s="26">
        <f>+I81/I8</f>
        <v>0.1405272708333333</v>
      </c>
      <c r="J82" s="26">
        <f>+J81/J8</f>
        <v>0.1405272708333333</v>
      </c>
      <c r="K82" s="26">
        <f>+K81/K8</f>
        <v>0.14922181666666665</v>
      </c>
      <c r="L82" s="26">
        <f>+L81/L8</f>
        <v>0.14922181666666665</v>
      </c>
      <c r="M82" s="26">
        <f>+M81/M8</f>
        <v>0.15501818055555555</v>
      </c>
      <c r="N82" s="26">
        <f>+N81/N8</f>
        <v>0.15501818055555555</v>
      </c>
      <c r="O82" s="26">
        <f>+O81/O8</f>
        <v>0.15501818055555555</v>
      </c>
      <c r="P82" s="26">
        <f>+P81/P8</f>
        <v>0.15501818055555555</v>
      </c>
      <c r="Q82" s="26">
        <f>+Q81/Q8</f>
        <v>0.15915844047619046</v>
      </c>
      <c r="R82" s="26">
        <f>+R81/R8</f>
        <v>0.15915844047619046</v>
      </c>
      <c r="S82" s="26">
        <f>+S81/S8</f>
        <v>0.16226363541666666</v>
      </c>
      <c r="T82" s="26">
        <f>+T81/T8</f>
        <v>0.16226363541666666</v>
      </c>
      <c r="U82" s="26">
        <f>+U81/U8</f>
        <v>0.16226363541666666</v>
      </c>
      <c r="V82" s="26">
        <f>+V81/V8</f>
        <v>0.16226363541666666</v>
      </c>
    </row>
  </sheetData>
  <autoFilter ref="A21:G74" xr:uid="{00000000-0009-0000-0000-000002000000}">
    <filterColumn colId="3" showButton="0"/>
    <filterColumn colId="4" showButton="0"/>
    <filterColumn colId="5" showButton="0"/>
  </autoFilter>
  <mergeCells count="24">
    <mergeCell ref="A81:C81"/>
    <mergeCell ref="A74:C74"/>
    <mergeCell ref="A75:C75"/>
    <mergeCell ref="A76:C76"/>
    <mergeCell ref="A54:C54"/>
    <mergeCell ref="A61:C61"/>
    <mergeCell ref="A67:C67"/>
    <mergeCell ref="D55:J55"/>
    <mergeCell ref="D62:J62"/>
    <mergeCell ref="D68:J68"/>
    <mergeCell ref="D41:J41"/>
    <mergeCell ref="D49:J49"/>
    <mergeCell ref="D52:J52"/>
    <mergeCell ref="A40:C40"/>
    <mergeCell ref="A48:C48"/>
    <mergeCell ref="A51:C51"/>
    <mergeCell ref="A1:G1"/>
    <mergeCell ref="B3:C3"/>
    <mergeCell ref="B4:C4"/>
    <mergeCell ref="D21:J21"/>
    <mergeCell ref="D12:J12"/>
    <mergeCell ref="A16:C16"/>
    <mergeCell ref="A17:C17"/>
    <mergeCell ref="A19:C19"/>
  </mergeCells>
  <conditionalFormatting sqref="D4:H4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scale="5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4895C-66C8-40ED-8375-31BC68BF9A76}">
  <dimension ref="A1:H167"/>
  <sheetViews>
    <sheetView workbookViewId="0">
      <selection activeCell="E3" sqref="E3"/>
    </sheetView>
  </sheetViews>
  <sheetFormatPr defaultColWidth="8.7109375" defaultRowHeight="15" x14ac:dyDescent="0.25"/>
  <cols>
    <col min="1" max="1" width="13.28515625" style="46" bestFit="1" customWidth="1"/>
    <col min="2" max="2" width="9.85546875" style="46" bestFit="1" customWidth="1"/>
    <col min="3" max="3" width="13.7109375" customWidth="1"/>
    <col min="4" max="4" width="19.140625" style="46" customWidth="1"/>
    <col min="5" max="5" width="19" bestFit="1" customWidth="1"/>
    <col min="6" max="6" width="21.5703125" bestFit="1" customWidth="1"/>
    <col min="7" max="7" width="22.5703125" customWidth="1"/>
    <col min="8" max="8" width="16.28515625" bestFit="1" customWidth="1"/>
  </cols>
  <sheetData>
    <row r="1" spans="1:7" ht="15.75" thickBot="1" x14ac:dyDescent="0.3">
      <c r="A1" s="47" t="s">
        <v>83</v>
      </c>
      <c r="B1" s="47" t="s">
        <v>84</v>
      </c>
      <c r="C1" s="48" t="s">
        <v>85</v>
      </c>
      <c r="D1" s="49" t="s">
        <v>86</v>
      </c>
      <c r="E1" s="48" t="s">
        <v>87</v>
      </c>
      <c r="F1" s="48" t="s">
        <v>88</v>
      </c>
      <c r="G1" s="50" t="s">
        <v>89</v>
      </c>
    </row>
    <row r="2" spans="1:7" x14ac:dyDescent="0.25">
      <c r="A2" s="65">
        <v>1</v>
      </c>
      <c r="B2" s="56" t="s">
        <v>90</v>
      </c>
      <c r="C2" s="57">
        <v>4.9000000000000004</v>
      </c>
      <c r="D2" s="94">
        <v>1300</v>
      </c>
      <c r="E2" s="91">
        <f>+C2*D2</f>
        <v>6370.0000000000009</v>
      </c>
      <c r="F2" s="92">
        <f>E2*3.6725</f>
        <v>23393.825000000004</v>
      </c>
      <c r="G2" s="125">
        <f>SUM(F2:F20)</f>
        <v>1397884.7918750001</v>
      </c>
    </row>
    <row r="3" spans="1:7" x14ac:dyDescent="0.25">
      <c r="A3" s="58">
        <v>2</v>
      </c>
      <c r="B3" s="59" t="s">
        <v>90</v>
      </c>
      <c r="C3" s="61">
        <v>270</v>
      </c>
      <c r="D3" s="95">
        <v>100</v>
      </c>
      <c r="E3" s="63">
        <f t="shared" ref="E3:E63" si="0">+C3*D3</f>
        <v>27000</v>
      </c>
      <c r="F3" s="93">
        <f t="shared" ref="F3:F63" si="1">E3*3.6725</f>
        <v>99157.5</v>
      </c>
      <c r="G3" s="126"/>
    </row>
    <row r="4" spans="1:7" x14ac:dyDescent="0.25">
      <c r="A4" s="65">
        <v>3</v>
      </c>
      <c r="B4" s="59" t="s">
        <v>90</v>
      </c>
      <c r="C4" s="61">
        <v>225</v>
      </c>
      <c r="D4" s="95">
        <v>50</v>
      </c>
      <c r="E4" s="63">
        <f t="shared" si="0"/>
        <v>11250</v>
      </c>
      <c r="F4" s="93">
        <f t="shared" si="1"/>
        <v>41315.625</v>
      </c>
      <c r="G4" s="126"/>
    </row>
    <row r="5" spans="1:7" x14ac:dyDescent="0.25">
      <c r="A5" s="58">
        <v>4</v>
      </c>
      <c r="B5" s="59" t="s">
        <v>90</v>
      </c>
      <c r="C5" s="61">
        <v>1620</v>
      </c>
      <c r="D5" s="95">
        <v>10</v>
      </c>
      <c r="E5" s="63">
        <f t="shared" si="0"/>
        <v>16200</v>
      </c>
      <c r="F5" s="93">
        <f t="shared" si="1"/>
        <v>59494.5</v>
      </c>
      <c r="G5" s="126"/>
    </row>
    <row r="6" spans="1:7" x14ac:dyDescent="0.25">
      <c r="A6" s="65">
        <v>5</v>
      </c>
      <c r="B6" s="59" t="s">
        <v>90</v>
      </c>
      <c r="C6" s="66">
        <v>960</v>
      </c>
      <c r="D6" s="96">
        <v>35</v>
      </c>
      <c r="E6" s="63">
        <f t="shared" si="0"/>
        <v>33600</v>
      </c>
      <c r="F6" s="93">
        <f t="shared" si="1"/>
        <v>123396</v>
      </c>
      <c r="G6" s="126"/>
    </row>
    <row r="7" spans="1:7" x14ac:dyDescent="0.25">
      <c r="A7" s="58">
        <v>6</v>
      </c>
      <c r="B7" s="59" t="s">
        <v>90</v>
      </c>
      <c r="C7" s="61">
        <v>1667.25</v>
      </c>
      <c r="D7" s="95">
        <v>7</v>
      </c>
      <c r="E7" s="63">
        <f t="shared" si="0"/>
        <v>11670.75</v>
      </c>
      <c r="F7" s="93">
        <f t="shared" si="1"/>
        <v>42860.829375000001</v>
      </c>
      <c r="G7" s="126"/>
    </row>
    <row r="8" spans="1:7" x14ac:dyDescent="0.25">
      <c r="A8" s="65">
        <v>7</v>
      </c>
      <c r="B8" s="59" t="s">
        <v>90</v>
      </c>
      <c r="C8" s="68">
        <v>1770</v>
      </c>
      <c r="D8" s="97">
        <v>10</v>
      </c>
      <c r="E8" s="63">
        <f t="shared" si="0"/>
        <v>17700</v>
      </c>
      <c r="F8" s="93">
        <f t="shared" si="1"/>
        <v>65003.25</v>
      </c>
      <c r="G8" s="126"/>
    </row>
    <row r="9" spans="1:7" x14ac:dyDescent="0.25">
      <c r="A9" s="58">
        <v>8</v>
      </c>
      <c r="B9" s="59" t="s">
        <v>90</v>
      </c>
      <c r="C9" s="61">
        <v>212</v>
      </c>
      <c r="D9" s="95">
        <v>30</v>
      </c>
      <c r="E9" s="63">
        <f t="shared" si="0"/>
        <v>6360</v>
      </c>
      <c r="F9" s="93">
        <f t="shared" si="1"/>
        <v>23357.1</v>
      </c>
      <c r="G9" s="126"/>
    </row>
    <row r="10" spans="1:7" x14ac:dyDescent="0.25">
      <c r="A10" s="65">
        <v>9</v>
      </c>
      <c r="B10" s="59" t="s">
        <v>90</v>
      </c>
      <c r="C10" s="61">
        <v>275</v>
      </c>
      <c r="D10" s="95">
        <v>50</v>
      </c>
      <c r="E10" s="63">
        <f t="shared" si="0"/>
        <v>13750</v>
      </c>
      <c r="F10" s="93">
        <f t="shared" si="1"/>
        <v>50496.875</v>
      </c>
      <c r="G10" s="126"/>
    </row>
    <row r="11" spans="1:7" x14ac:dyDescent="0.25">
      <c r="A11" s="58">
        <v>10</v>
      </c>
      <c r="B11" s="59" t="s">
        <v>90</v>
      </c>
      <c r="C11" s="68">
        <v>13.5</v>
      </c>
      <c r="D11" s="97">
        <v>850</v>
      </c>
      <c r="E11" s="63">
        <f t="shared" si="0"/>
        <v>11475</v>
      </c>
      <c r="F11" s="93">
        <f t="shared" si="1"/>
        <v>42141.9375</v>
      </c>
      <c r="G11" s="126"/>
    </row>
    <row r="12" spans="1:7" x14ac:dyDescent="0.25">
      <c r="A12" s="65">
        <v>11</v>
      </c>
      <c r="B12" s="59" t="s">
        <v>90</v>
      </c>
      <c r="C12" s="68">
        <v>284</v>
      </c>
      <c r="D12" s="97">
        <v>80</v>
      </c>
      <c r="E12" s="63">
        <f t="shared" si="0"/>
        <v>22720</v>
      </c>
      <c r="F12" s="93">
        <f t="shared" si="1"/>
        <v>83439.199999999997</v>
      </c>
      <c r="G12" s="126"/>
    </row>
    <row r="13" spans="1:7" x14ac:dyDescent="0.25">
      <c r="A13" s="58">
        <v>12</v>
      </c>
      <c r="B13" s="59" t="s">
        <v>90</v>
      </c>
      <c r="C13" s="66">
        <v>1640</v>
      </c>
      <c r="D13" s="96">
        <v>30</v>
      </c>
      <c r="E13" s="63">
        <f t="shared" si="0"/>
        <v>49200</v>
      </c>
      <c r="F13" s="93">
        <f t="shared" si="1"/>
        <v>180687</v>
      </c>
      <c r="G13" s="126"/>
    </row>
    <row r="14" spans="1:7" x14ac:dyDescent="0.25">
      <c r="A14" s="65">
        <v>13</v>
      </c>
      <c r="B14" s="59" t="s">
        <v>90</v>
      </c>
      <c r="C14" s="66">
        <v>1720</v>
      </c>
      <c r="D14" s="96">
        <v>12</v>
      </c>
      <c r="E14" s="63">
        <f t="shared" si="0"/>
        <v>20640</v>
      </c>
      <c r="F14" s="93">
        <f t="shared" si="1"/>
        <v>75800.399999999994</v>
      </c>
      <c r="G14" s="126"/>
    </row>
    <row r="15" spans="1:7" ht="14.65" customHeight="1" x14ac:dyDescent="0.25">
      <c r="A15" s="58">
        <v>14</v>
      </c>
      <c r="B15" s="59" t="s">
        <v>90</v>
      </c>
      <c r="C15" s="66">
        <v>280</v>
      </c>
      <c r="D15" s="96">
        <v>30</v>
      </c>
      <c r="E15" s="63">
        <f t="shared" si="0"/>
        <v>8400</v>
      </c>
      <c r="F15" s="93">
        <f t="shared" si="1"/>
        <v>30849</v>
      </c>
      <c r="G15" s="126"/>
    </row>
    <row r="16" spans="1:7" x14ac:dyDescent="0.25">
      <c r="A16" s="65">
        <v>15</v>
      </c>
      <c r="B16" s="59" t="s">
        <v>90</v>
      </c>
      <c r="C16" s="66">
        <v>230</v>
      </c>
      <c r="D16" s="96">
        <v>70</v>
      </c>
      <c r="E16" s="63">
        <f t="shared" si="0"/>
        <v>16100</v>
      </c>
      <c r="F16" s="93">
        <f t="shared" si="1"/>
        <v>59127.25</v>
      </c>
      <c r="G16" s="126"/>
    </row>
    <row r="17" spans="1:8" x14ac:dyDescent="0.25">
      <c r="A17" s="58">
        <v>16</v>
      </c>
      <c r="B17" s="59" t="s">
        <v>90</v>
      </c>
      <c r="C17" s="66">
        <v>275</v>
      </c>
      <c r="D17" s="96">
        <v>35</v>
      </c>
      <c r="E17" s="63">
        <f t="shared" si="0"/>
        <v>9625</v>
      </c>
      <c r="F17" s="93">
        <f t="shared" si="1"/>
        <v>35347.8125</v>
      </c>
      <c r="G17" s="126"/>
    </row>
    <row r="18" spans="1:8" x14ac:dyDescent="0.25">
      <c r="A18" s="65">
        <v>17</v>
      </c>
      <c r="B18" s="59" t="s">
        <v>90</v>
      </c>
      <c r="C18" s="66">
        <v>395</v>
      </c>
      <c r="D18" s="96">
        <v>45</v>
      </c>
      <c r="E18" s="63">
        <f t="shared" si="0"/>
        <v>17775</v>
      </c>
      <c r="F18" s="93">
        <f t="shared" si="1"/>
        <v>65278.6875</v>
      </c>
      <c r="G18" s="126"/>
    </row>
    <row r="19" spans="1:8" x14ac:dyDescent="0.25">
      <c r="A19" s="58">
        <v>18</v>
      </c>
      <c r="B19" s="59" t="s">
        <v>90</v>
      </c>
      <c r="C19" s="66">
        <v>2480</v>
      </c>
      <c r="D19" s="96">
        <v>10</v>
      </c>
      <c r="E19" s="63">
        <f t="shared" si="0"/>
        <v>24800</v>
      </c>
      <c r="F19" s="93">
        <f t="shared" si="1"/>
        <v>91078</v>
      </c>
      <c r="G19" s="126"/>
    </row>
    <row r="20" spans="1:8" ht="15.75" thickBot="1" x14ac:dyDescent="0.3">
      <c r="A20" s="65">
        <v>19</v>
      </c>
      <c r="B20" s="69" t="s">
        <v>90</v>
      </c>
      <c r="C20" s="70">
        <v>2800</v>
      </c>
      <c r="D20" s="98">
        <v>20</v>
      </c>
      <c r="E20" s="63">
        <f t="shared" si="0"/>
        <v>56000</v>
      </c>
      <c r="F20" s="93">
        <f t="shared" si="1"/>
        <v>205660</v>
      </c>
      <c r="G20" s="127"/>
      <c r="H20" s="86">
        <f>+SUM(F2:F20)</f>
        <v>1397884.7918750001</v>
      </c>
    </row>
    <row r="21" spans="1:8" x14ac:dyDescent="0.25">
      <c r="A21" s="71">
        <v>20</v>
      </c>
      <c r="B21" s="71" t="s">
        <v>91</v>
      </c>
      <c r="C21" s="72">
        <v>540</v>
      </c>
      <c r="D21" s="99">
        <v>11.594202898550725</v>
      </c>
      <c r="E21" s="63">
        <f t="shared" si="0"/>
        <v>6260.869565217391</v>
      </c>
      <c r="F21" s="93">
        <f t="shared" si="1"/>
        <v>22993.043478260868</v>
      </c>
      <c r="G21" s="125">
        <f>SUM(F21:F42)</f>
        <v>2476781.9021739131</v>
      </c>
    </row>
    <row r="22" spans="1:8" x14ac:dyDescent="0.25">
      <c r="A22" s="71">
        <v>21</v>
      </c>
      <c r="B22" s="53" t="s">
        <v>91</v>
      </c>
      <c r="C22" s="51">
        <v>960</v>
      </c>
      <c r="D22" s="100">
        <v>81.159420289855063</v>
      </c>
      <c r="E22" s="63">
        <f t="shared" si="0"/>
        <v>77913.043478260865</v>
      </c>
      <c r="F22" s="93">
        <f t="shared" si="1"/>
        <v>286135.65217391303</v>
      </c>
      <c r="G22" s="126"/>
    </row>
    <row r="23" spans="1:8" x14ac:dyDescent="0.25">
      <c r="A23" s="71">
        <v>22</v>
      </c>
      <c r="B23" s="53" t="s">
        <v>91</v>
      </c>
      <c r="C23" s="54">
        <v>540</v>
      </c>
      <c r="D23" s="101">
        <v>92.753623188405797</v>
      </c>
      <c r="E23" s="63">
        <f t="shared" si="0"/>
        <v>50086.956521739128</v>
      </c>
      <c r="F23" s="93">
        <f t="shared" si="1"/>
        <v>183944.34782608695</v>
      </c>
      <c r="G23" s="126"/>
    </row>
    <row r="24" spans="1:8" x14ac:dyDescent="0.25">
      <c r="A24" s="71">
        <v>23</v>
      </c>
      <c r="B24" s="53" t="s">
        <v>91</v>
      </c>
      <c r="C24" s="54">
        <v>1200</v>
      </c>
      <c r="D24" s="101">
        <v>57.971014492753618</v>
      </c>
      <c r="E24" s="63">
        <f t="shared" si="0"/>
        <v>69565.217391304337</v>
      </c>
      <c r="F24" s="93">
        <f t="shared" si="1"/>
        <v>255478.26086956516</v>
      </c>
      <c r="G24" s="126"/>
    </row>
    <row r="25" spans="1:8" x14ac:dyDescent="0.25">
      <c r="A25" s="71">
        <v>24</v>
      </c>
      <c r="B25" s="53" t="s">
        <v>91</v>
      </c>
      <c r="C25" s="54">
        <v>290</v>
      </c>
      <c r="D25" s="101">
        <v>46.376811594202898</v>
      </c>
      <c r="E25" s="63">
        <f t="shared" si="0"/>
        <v>13449.27536231884</v>
      </c>
      <c r="F25" s="93">
        <f t="shared" si="1"/>
        <v>49392.463768115937</v>
      </c>
      <c r="G25" s="126"/>
    </row>
    <row r="26" spans="1:8" x14ac:dyDescent="0.25">
      <c r="A26" s="71">
        <v>25</v>
      </c>
      <c r="B26" s="53" t="s">
        <v>91</v>
      </c>
      <c r="C26" s="54">
        <v>225</v>
      </c>
      <c r="D26" s="101">
        <v>46.376811594202898</v>
      </c>
      <c r="E26" s="63">
        <f t="shared" si="0"/>
        <v>10434.782608695652</v>
      </c>
      <c r="F26" s="93">
        <f t="shared" si="1"/>
        <v>38321.739130434784</v>
      </c>
      <c r="G26" s="126"/>
    </row>
    <row r="27" spans="1:8" x14ac:dyDescent="0.25">
      <c r="A27" s="71">
        <v>26</v>
      </c>
      <c r="B27" s="53" t="s">
        <v>91</v>
      </c>
      <c r="C27" s="54">
        <v>270</v>
      </c>
      <c r="D27" s="101">
        <v>46.376811594202898</v>
      </c>
      <c r="E27" s="63">
        <f t="shared" si="0"/>
        <v>12521.739130434782</v>
      </c>
      <c r="F27" s="93">
        <f t="shared" si="1"/>
        <v>45986.086956521736</v>
      </c>
      <c r="G27" s="126"/>
    </row>
    <row r="28" spans="1:8" ht="14.65" customHeight="1" x14ac:dyDescent="0.25">
      <c r="A28" s="71">
        <v>27</v>
      </c>
      <c r="B28" s="53" t="s">
        <v>91</v>
      </c>
      <c r="C28" s="54">
        <v>25</v>
      </c>
      <c r="D28" s="101">
        <v>927.53623188405788</v>
      </c>
      <c r="E28" s="63">
        <f t="shared" si="0"/>
        <v>23188.405797101448</v>
      </c>
      <c r="F28" s="93">
        <f t="shared" si="1"/>
        <v>85159.420289855072</v>
      </c>
      <c r="G28" s="126"/>
    </row>
    <row r="29" spans="1:8" x14ac:dyDescent="0.25">
      <c r="A29" s="71">
        <v>28</v>
      </c>
      <c r="B29" s="53" t="s">
        <v>91</v>
      </c>
      <c r="C29" s="54">
        <v>25</v>
      </c>
      <c r="D29" s="101">
        <v>1333.3333333333333</v>
      </c>
      <c r="E29" s="63">
        <f t="shared" si="0"/>
        <v>33333.333333333328</v>
      </c>
      <c r="F29" s="93">
        <f t="shared" si="1"/>
        <v>122416.66666666664</v>
      </c>
      <c r="G29" s="126"/>
    </row>
    <row r="30" spans="1:8" x14ac:dyDescent="0.25">
      <c r="A30" s="71">
        <v>29</v>
      </c>
      <c r="B30" s="53" t="s">
        <v>91</v>
      </c>
      <c r="C30" s="54">
        <v>1960</v>
      </c>
      <c r="D30" s="101">
        <v>18.55072463768116</v>
      </c>
      <c r="E30" s="63">
        <f t="shared" si="0"/>
        <v>36359.420289855072</v>
      </c>
      <c r="F30" s="93">
        <f t="shared" si="1"/>
        <v>133529.97101449274</v>
      </c>
      <c r="G30" s="126"/>
    </row>
    <row r="31" spans="1:8" x14ac:dyDescent="0.25">
      <c r="A31" s="71">
        <v>30</v>
      </c>
      <c r="B31" s="53" t="s">
        <v>91</v>
      </c>
      <c r="C31" s="54">
        <v>45.82</v>
      </c>
      <c r="D31" s="101">
        <v>695.6521739130435</v>
      </c>
      <c r="E31" s="63">
        <f t="shared" si="0"/>
        <v>31874.782608695652</v>
      </c>
      <c r="F31" s="93">
        <f t="shared" si="1"/>
        <v>117060.13913043478</v>
      </c>
      <c r="G31" s="126"/>
    </row>
    <row r="32" spans="1:8" ht="14.65" customHeight="1" x14ac:dyDescent="0.25">
      <c r="A32" s="71">
        <v>31</v>
      </c>
      <c r="B32" s="53" t="s">
        <v>91</v>
      </c>
      <c r="C32" s="51">
        <v>320</v>
      </c>
      <c r="D32" s="100">
        <v>52.753623188405797</v>
      </c>
      <c r="E32" s="63">
        <f t="shared" si="0"/>
        <v>16881.159420289856</v>
      </c>
      <c r="F32" s="93">
        <f t="shared" si="1"/>
        <v>61996.057971014496</v>
      </c>
      <c r="G32" s="126"/>
    </row>
    <row r="33" spans="1:8" x14ac:dyDescent="0.25">
      <c r="A33" s="71">
        <v>32</v>
      </c>
      <c r="B33" s="53" t="s">
        <v>91</v>
      </c>
      <c r="C33" s="51">
        <v>305</v>
      </c>
      <c r="D33" s="100">
        <v>57.971014492753618</v>
      </c>
      <c r="E33" s="63">
        <f t="shared" si="0"/>
        <v>17681.159420289852</v>
      </c>
      <c r="F33" s="93">
        <f t="shared" si="1"/>
        <v>64934.057971014481</v>
      </c>
      <c r="G33" s="126"/>
    </row>
    <row r="34" spans="1:8" x14ac:dyDescent="0.25">
      <c r="A34" s="71">
        <v>33</v>
      </c>
      <c r="B34" s="53" t="s">
        <v>91</v>
      </c>
      <c r="C34" s="54">
        <v>480</v>
      </c>
      <c r="D34" s="101">
        <v>13.478260869565217</v>
      </c>
      <c r="E34" s="63">
        <f t="shared" si="0"/>
        <v>6469.565217391304</v>
      </c>
      <c r="F34" s="93">
        <f t="shared" si="1"/>
        <v>23759.478260869564</v>
      </c>
      <c r="G34" s="126"/>
    </row>
    <row r="35" spans="1:8" x14ac:dyDescent="0.25">
      <c r="A35" s="71">
        <v>34</v>
      </c>
      <c r="B35" s="53" t="s">
        <v>91</v>
      </c>
      <c r="C35" s="54">
        <v>1720</v>
      </c>
      <c r="D35" s="101">
        <v>3.4782608695652173</v>
      </c>
      <c r="E35" s="63">
        <f t="shared" si="0"/>
        <v>5982.608695652174</v>
      </c>
      <c r="F35" s="93">
        <f t="shared" si="1"/>
        <v>21971.130434782608</v>
      </c>
      <c r="G35" s="126"/>
    </row>
    <row r="36" spans="1:8" x14ac:dyDescent="0.25">
      <c r="A36" s="71">
        <v>35</v>
      </c>
      <c r="B36" s="53" t="s">
        <v>91</v>
      </c>
      <c r="C36" s="54">
        <v>1900</v>
      </c>
      <c r="D36" s="101">
        <v>16</v>
      </c>
      <c r="E36" s="63">
        <f t="shared" si="0"/>
        <v>30400</v>
      </c>
      <c r="F36" s="93">
        <f t="shared" si="1"/>
        <v>111644</v>
      </c>
      <c r="G36" s="126"/>
    </row>
    <row r="37" spans="1:8" x14ac:dyDescent="0.25">
      <c r="A37" s="71">
        <v>36</v>
      </c>
      <c r="B37" s="53" t="s">
        <v>91</v>
      </c>
      <c r="C37" s="54">
        <v>2100</v>
      </c>
      <c r="D37" s="101">
        <v>9.27536231884058</v>
      </c>
      <c r="E37" s="63">
        <f t="shared" si="0"/>
        <v>19478.26086956522</v>
      </c>
      <c r="F37" s="93">
        <f t="shared" si="1"/>
        <v>71533.913043478271</v>
      </c>
      <c r="G37" s="126"/>
    </row>
    <row r="38" spans="1:8" x14ac:dyDescent="0.25">
      <c r="A38" s="71">
        <v>37</v>
      </c>
      <c r="B38" s="53" t="s">
        <v>91</v>
      </c>
      <c r="C38" s="54">
        <v>1450</v>
      </c>
      <c r="D38" s="101">
        <v>11.594202898550725</v>
      </c>
      <c r="E38" s="63">
        <f t="shared" si="0"/>
        <v>16811.594202898552</v>
      </c>
      <c r="F38" s="93">
        <f t="shared" si="1"/>
        <v>61740.579710144928</v>
      </c>
      <c r="G38" s="126"/>
    </row>
    <row r="39" spans="1:8" ht="14.65" customHeight="1" x14ac:dyDescent="0.25">
      <c r="A39" s="71">
        <v>38</v>
      </c>
      <c r="B39" s="53" t="s">
        <v>91</v>
      </c>
      <c r="C39" s="54">
        <v>266</v>
      </c>
      <c r="D39" s="101">
        <v>579.13043478260863</v>
      </c>
      <c r="E39" s="63">
        <f t="shared" si="0"/>
        <v>154048.69565217389</v>
      </c>
      <c r="F39" s="93">
        <f t="shared" si="1"/>
        <v>565743.83478260855</v>
      </c>
      <c r="G39" s="126"/>
    </row>
    <row r="40" spans="1:8" x14ac:dyDescent="0.25">
      <c r="A40" s="71">
        <v>39</v>
      </c>
      <c r="B40" s="53" t="s">
        <v>91</v>
      </c>
      <c r="C40" s="51">
        <v>210</v>
      </c>
      <c r="D40" s="100">
        <v>22.028985507246375</v>
      </c>
      <c r="E40" s="63">
        <f t="shared" si="0"/>
        <v>4626.086956521739</v>
      </c>
      <c r="F40" s="93">
        <f t="shared" si="1"/>
        <v>16989.304347826084</v>
      </c>
      <c r="G40" s="126"/>
    </row>
    <row r="41" spans="1:8" x14ac:dyDescent="0.25">
      <c r="A41" s="71">
        <v>40</v>
      </c>
      <c r="B41" s="53" t="s">
        <v>91</v>
      </c>
      <c r="C41" s="52">
        <v>23.64</v>
      </c>
      <c r="D41" s="102">
        <v>637.68115942028987</v>
      </c>
      <c r="E41" s="63">
        <f t="shared" si="0"/>
        <v>15074.782608695654</v>
      </c>
      <c r="F41" s="93">
        <f t="shared" si="1"/>
        <v>55362.139130434785</v>
      </c>
      <c r="G41" s="126"/>
    </row>
    <row r="42" spans="1:8" ht="15.75" thickBot="1" x14ac:dyDescent="0.3">
      <c r="A42" s="71">
        <v>41</v>
      </c>
      <c r="B42" s="53" t="s">
        <v>91</v>
      </c>
      <c r="C42" s="52">
        <v>22.97</v>
      </c>
      <c r="D42" s="102">
        <v>956.52173913043475</v>
      </c>
      <c r="E42" s="63">
        <f t="shared" si="0"/>
        <v>21971.304347826084</v>
      </c>
      <c r="F42" s="93">
        <f t="shared" si="1"/>
        <v>80689.615217391285</v>
      </c>
      <c r="G42" s="127"/>
      <c r="H42" s="86">
        <f>+SUM(F21:F42)</f>
        <v>2476781.9021739131</v>
      </c>
    </row>
    <row r="43" spans="1:8" x14ac:dyDescent="0.25">
      <c r="A43" s="58">
        <v>42</v>
      </c>
      <c r="B43" s="60" t="s">
        <v>92</v>
      </c>
      <c r="C43" s="68">
        <v>9.9</v>
      </c>
      <c r="D43" s="97">
        <v>765.21739130434776</v>
      </c>
      <c r="E43" s="63">
        <f t="shared" si="0"/>
        <v>7575.652173913043</v>
      </c>
      <c r="F43" s="93">
        <f t="shared" si="1"/>
        <v>27821.582608695651</v>
      </c>
      <c r="G43" s="125">
        <f>SUM(F43:F78)</f>
        <v>3160986.9614492748</v>
      </c>
    </row>
    <row r="44" spans="1:8" ht="15.4" customHeight="1" x14ac:dyDescent="0.25">
      <c r="A44" s="65">
        <v>43</v>
      </c>
      <c r="B44" s="60" t="s">
        <v>92</v>
      </c>
      <c r="C44" s="74">
        <v>310</v>
      </c>
      <c r="D44" s="103">
        <v>46.376811594202898</v>
      </c>
      <c r="E44" s="63">
        <f t="shared" si="0"/>
        <v>14376.811594202898</v>
      </c>
      <c r="F44" s="93">
        <f t="shared" si="1"/>
        <v>52798.840579710144</v>
      </c>
      <c r="G44" s="126"/>
    </row>
    <row r="45" spans="1:8" x14ac:dyDescent="0.25">
      <c r="A45" s="58">
        <v>44</v>
      </c>
      <c r="B45" s="60" t="s">
        <v>92</v>
      </c>
      <c r="C45" s="74">
        <v>607.5</v>
      </c>
      <c r="D45" s="103">
        <v>46.376811594202898</v>
      </c>
      <c r="E45" s="63">
        <f t="shared" si="0"/>
        <v>28173.91304347826</v>
      </c>
      <c r="F45" s="93">
        <f t="shared" si="1"/>
        <v>103468.6956521739</v>
      </c>
      <c r="G45" s="126"/>
    </row>
    <row r="46" spans="1:8" x14ac:dyDescent="0.25">
      <c r="A46" s="65">
        <v>45</v>
      </c>
      <c r="B46" s="60" t="s">
        <v>92</v>
      </c>
      <c r="C46" s="51">
        <v>2400</v>
      </c>
      <c r="D46" s="100">
        <v>57.971014492753618</v>
      </c>
      <c r="E46" s="63">
        <f t="shared" ref="E46:E48" si="2">+C46*D46</f>
        <v>139130.43478260867</v>
      </c>
      <c r="F46" s="93">
        <f t="shared" si="1"/>
        <v>510956.52173913032</v>
      </c>
      <c r="G46" s="126"/>
      <c r="H46" s="73"/>
    </row>
    <row r="47" spans="1:8" x14ac:dyDescent="0.25">
      <c r="A47" s="58">
        <v>46</v>
      </c>
      <c r="B47" s="60" t="s">
        <v>92</v>
      </c>
      <c r="C47" s="51">
        <v>560</v>
      </c>
      <c r="D47" s="100">
        <v>173.91304347826087</v>
      </c>
      <c r="E47" s="63">
        <f t="shared" si="2"/>
        <v>97391.304347826095</v>
      </c>
      <c r="F47" s="93">
        <f t="shared" si="1"/>
        <v>357669.5652173913</v>
      </c>
      <c r="G47" s="126"/>
      <c r="H47" s="73"/>
    </row>
    <row r="48" spans="1:8" x14ac:dyDescent="0.25">
      <c r="A48" s="65">
        <v>47</v>
      </c>
      <c r="B48" s="60" t="s">
        <v>92</v>
      </c>
      <c r="C48" s="54">
        <v>975</v>
      </c>
      <c r="D48" s="101">
        <v>40.579710144927532</v>
      </c>
      <c r="E48" s="63">
        <f t="shared" si="2"/>
        <v>39565.217391304344</v>
      </c>
      <c r="F48" s="93">
        <f t="shared" si="1"/>
        <v>145303.26086956519</v>
      </c>
      <c r="G48" s="126"/>
      <c r="H48" s="73"/>
    </row>
    <row r="49" spans="1:7" x14ac:dyDescent="0.25">
      <c r="A49" s="58">
        <v>48</v>
      </c>
      <c r="B49" s="60" t="s">
        <v>92</v>
      </c>
      <c r="C49" s="68">
        <v>16.36</v>
      </c>
      <c r="D49" s="97">
        <v>1020.2898550724638</v>
      </c>
      <c r="E49" s="63">
        <f t="shared" si="0"/>
        <v>16691.942028985508</v>
      </c>
      <c r="F49" s="93">
        <f t="shared" si="1"/>
        <v>61301.157101449273</v>
      </c>
      <c r="G49" s="126"/>
    </row>
    <row r="50" spans="1:7" x14ac:dyDescent="0.25">
      <c r="A50" s="65">
        <v>49</v>
      </c>
      <c r="B50" s="60" t="s">
        <v>92</v>
      </c>
      <c r="C50" s="68">
        <v>540</v>
      </c>
      <c r="D50" s="97">
        <v>46.376811594202898</v>
      </c>
      <c r="E50" s="63">
        <f t="shared" si="0"/>
        <v>25043.478260869564</v>
      </c>
      <c r="F50" s="93">
        <f t="shared" si="1"/>
        <v>91972.173913043473</v>
      </c>
      <c r="G50" s="126"/>
    </row>
    <row r="51" spans="1:7" x14ac:dyDescent="0.25">
      <c r="A51" s="58">
        <v>50</v>
      </c>
      <c r="B51" s="60" t="s">
        <v>92</v>
      </c>
      <c r="C51" s="68">
        <v>340</v>
      </c>
      <c r="D51" s="97">
        <v>41.739130434782609</v>
      </c>
      <c r="E51" s="63">
        <f t="shared" si="0"/>
        <v>14191.304347826088</v>
      </c>
      <c r="F51" s="93">
        <f t="shared" si="1"/>
        <v>52117.565217391304</v>
      </c>
      <c r="G51" s="126"/>
    </row>
    <row r="52" spans="1:7" x14ac:dyDescent="0.25">
      <c r="A52" s="65">
        <v>51</v>
      </c>
      <c r="B52" s="60" t="s">
        <v>92</v>
      </c>
      <c r="C52" s="74">
        <v>270</v>
      </c>
      <c r="D52" s="103">
        <v>92.753623188405797</v>
      </c>
      <c r="E52" s="63">
        <f t="shared" si="0"/>
        <v>25043.478260869564</v>
      </c>
      <c r="F52" s="93">
        <f t="shared" si="1"/>
        <v>91972.173913043473</v>
      </c>
      <c r="G52" s="126"/>
    </row>
    <row r="53" spans="1:7" s="76" customFormat="1" ht="16.149999999999999" customHeight="1" x14ac:dyDescent="0.25">
      <c r="A53" s="58">
        <v>52</v>
      </c>
      <c r="B53" s="67" t="s">
        <v>92</v>
      </c>
      <c r="C53" s="75">
        <v>64.58</v>
      </c>
      <c r="D53" s="104">
        <v>231.88405797101447</v>
      </c>
      <c r="E53" s="63">
        <f t="shared" si="0"/>
        <v>14975.072463768114</v>
      </c>
      <c r="F53" s="93">
        <f t="shared" si="1"/>
        <v>54995.953623188398</v>
      </c>
      <c r="G53" s="126"/>
    </row>
    <row r="54" spans="1:7" x14ac:dyDescent="0.25">
      <c r="A54" s="65">
        <v>53</v>
      </c>
      <c r="B54" s="60" t="s">
        <v>92</v>
      </c>
      <c r="C54" s="74">
        <v>540</v>
      </c>
      <c r="D54" s="103">
        <v>92.753623188405797</v>
      </c>
      <c r="E54" s="63">
        <f t="shared" si="0"/>
        <v>50086.956521739128</v>
      </c>
      <c r="F54" s="93">
        <f t="shared" si="1"/>
        <v>183944.34782608695</v>
      </c>
      <c r="G54" s="126"/>
    </row>
    <row r="55" spans="1:7" x14ac:dyDescent="0.25">
      <c r="A55" s="58">
        <v>54</v>
      </c>
      <c r="B55" s="60" t="s">
        <v>92</v>
      </c>
      <c r="C55" s="74">
        <v>5.5</v>
      </c>
      <c r="D55" s="103">
        <v>2295.6521739130435</v>
      </c>
      <c r="E55" s="63">
        <f t="shared" si="0"/>
        <v>12626.08695652174</v>
      </c>
      <c r="F55" s="93">
        <f t="shared" si="1"/>
        <v>46369.304347826088</v>
      </c>
      <c r="G55" s="126"/>
    </row>
    <row r="56" spans="1:7" x14ac:dyDescent="0.25">
      <c r="A56" s="65">
        <v>55</v>
      </c>
      <c r="B56" s="60" t="s">
        <v>92</v>
      </c>
      <c r="C56" s="74">
        <v>655</v>
      </c>
      <c r="D56" s="103">
        <v>46.376811594202898</v>
      </c>
      <c r="E56" s="63">
        <f t="shared" si="0"/>
        <v>30376.8115942029</v>
      </c>
      <c r="F56" s="93">
        <f t="shared" si="1"/>
        <v>111558.84057971014</v>
      </c>
      <c r="G56" s="126"/>
    </row>
    <row r="57" spans="1:7" x14ac:dyDescent="0.25">
      <c r="A57" s="58">
        <v>56</v>
      </c>
      <c r="B57" s="60" t="s">
        <v>92</v>
      </c>
      <c r="C57" s="74">
        <v>302.95</v>
      </c>
      <c r="D57" s="103">
        <v>92.753623188405797</v>
      </c>
      <c r="E57" s="63">
        <f t="shared" si="0"/>
        <v>28099.710144927536</v>
      </c>
      <c r="F57" s="93">
        <f t="shared" si="1"/>
        <v>103196.18550724637</v>
      </c>
      <c r="G57" s="126"/>
    </row>
    <row r="58" spans="1:7" x14ac:dyDescent="0.25">
      <c r="A58" s="65">
        <v>57</v>
      </c>
      <c r="B58" s="60" t="s">
        <v>92</v>
      </c>
      <c r="C58" s="68">
        <v>22.97</v>
      </c>
      <c r="D58" s="97">
        <v>1043.4782608695652</v>
      </c>
      <c r="E58" s="63">
        <f t="shared" si="0"/>
        <v>23968.695652173912</v>
      </c>
      <c r="F58" s="93">
        <f t="shared" si="1"/>
        <v>88025.034782608695</v>
      </c>
      <c r="G58" s="126"/>
    </row>
    <row r="59" spans="1:7" x14ac:dyDescent="0.25">
      <c r="A59" s="58">
        <v>58</v>
      </c>
      <c r="B59" s="60" t="s">
        <v>92</v>
      </c>
      <c r="C59" s="68">
        <v>6.9</v>
      </c>
      <c r="D59" s="97">
        <v>1391.304347826087</v>
      </c>
      <c r="E59" s="63">
        <f t="shared" si="0"/>
        <v>9600</v>
      </c>
      <c r="F59" s="93">
        <f t="shared" si="1"/>
        <v>35256</v>
      </c>
      <c r="G59" s="126"/>
    </row>
    <row r="60" spans="1:7" x14ac:dyDescent="0.25">
      <c r="A60" s="65">
        <v>59</v>
      </c>
      <c r="B60" s="60" t="s">
        <v>92</v>
      </c>
      <c r="C60" s="68">
        <v>9.9</v>
      </c>
      <c r="D60" s="97">
        <v>1014.4927536231884</v>
      </c>
      <c r="E60" s="63">
        <f t="shared" si="0"/>
        <v>10043.478260869566</v>
      </c>
      <c r="F60" s="93">
        <f t="shared" si="1"/>
        <v>36884.67391304348</v>
      </c>
      <c r="G60" s="126"/>
    </row>
    <row r="61" spans="1:7" x14ac:dyDescent="0.25">
      <c r="A61" s="58">
        <v>60</v>
      </c>
      <c r="B61" s="60" t="s">
        <v>92</v>
      </c>
      <c r="C61" s="74">
        <v>1850</v>
      </c>
      <c r="D61" s="103">
        <v>11.594202898550725</v>
      </c>
      <c r="E61" s="63">
        <f t="shared" si="0"/>
        <v>21449.27536231884</v>
      </c>
      <c r="F61" s="93">
        <f t="shared" si="1"/>
        <v>78772.463768115937</v>
      </c>
      <c r="G61" s="126"/>
    </row>
    <row r="62" spans="1:7" x14ac:dyDescent="0.25">
      <c r="A62" s="65">
        <v>61</v>
      </c>
      <c r="B62" s="60" t="s">
        <v>92</v>
      </c>
      <c r="C62" s="74">
        <v>65</v>
      </c>
      <c r="D62" s="103">
        <v>185.50724637681159</v>
      </c>
      <c r="E62" s="63">
        <f t="shared" si="0"/>
        <v>12057.971014492754</v>
      </c>
      <c r="F62" s="93">
        <f t="shared" si="1"/>
        <v>44282.89855072464</v>
      </c>
      <c r="G62" s="126"/>
    </row>
    <row r="63" spans="1:7" x14ac:dyDescent="0.25">
      <c r="A63" s="58">
        <v>62</v>
      </c>
      <c r="B63" s="60" t="s">
        <v>92</v>
      </c>
      <c r="C63" s="74">
        <v>216</v>
      </c>
      <c r="D63" s="103">
        <v>6.9565217391304346</v>
      </c>
      <c r="E63" s="63">
        <f t="shared" si="0"/>
        <v>1502.6086956521738</v>
      </c>
      <c r="F63" s="93">
        <f t="shared" si="1"/>
        <v>5518.3304347826079</v>
      </c>
      <c r="G63" s="126"/>
    </row>
    <row r="64" spans="1:7" x14ac:dyDescent="0.25">
      <c r="A64" s="65">
        <v>63</v>
      </c>
      <c r="B64" s="60" t="s">
        <v>92</v>
      </c>
      <c r="C64" s="68">
        <v>6.9</v>
      </c>
      <c r="D64" s="97">
        <v>660.86956521739125</v>
      </c>
      <c r="E64" s="63">
        <f t="shared" ref="E64:E128" si="3">+C64*D64</f>
        <v>4560</v>
      </c>
      <c r="F64" s="93">
        <f t="shared" ref="F64:F128" si="4">E64*3.6725</f>
        <v>16746.599999999999</v>
      </c>
      <c r="G64" s="126"/>
    </row>
    <row r="65" spans="1:8" x14ac:dyDescent="0.25">
      <c r="A65" s="58">
        <v>64</v>
      </c>
      <c r="B65" s="60" t="s">
        <v>92</v>
      </c>
      <c r="C65" s="74">
        <v>345</v>
      </c>
      <c r="D65" s="103">
        <v>11.594202898550725</v>
      </c>
      <c r="E65" s="63">
        <f t="shared" si="3"/>
        <v>4000</v>
      </c>
      <c r="F65" s="93">
        <f t="shared" si="4"/>
        <v>14690</v>
      </c>
      <c r="G65" s="126"/>
    </row>
    <row r="66" spans="1:8" x14ac:dyDescent="0.25">
      <c r="A66" s="65">
        <v>65</v>
      </c>
      <c r="B66" s="60" t="s">
        <v>92</v>
      </c>
      <c r="C66" s="74">
        <v>440</v>
      </c>
      <c r="D66" s="103">
        <v>11.594202898550725</v>
      </c>
      <c r="E66" s="63">
        <f t="shared" si="3"/>
        <v>5101.449275362319</v>
      </c>
      <c r="F66" s="93">
        <f t="shared" si="4"/>
        <v>18735.072463768116</v>
      </c>
      <c r="G66" s="126"/>
    </row>
    <row r="67" spans="1:8" x14ac:dyDescent="0.25">
      <c r="A67" s="58">
        <v>66</v>
      </c>
      <c r="B67" s="60" t="s">
        <v>92</v>
      </c>
      <c r="C67" s="68">
        <v>210</v>
      </c>
      <c r="D67" s="97">
        <v>139.13043478260869</v>
      </c>
      <c r="E67" s="63">
        <f t="shared" si="3"/>
        <v>29217.391304347824</v>
      </c>
      <c r="F67" s="93">
        <f t="shared" si="4"/>
        <v>107300.86956521738</v>
      </c>
      <c r="G67" s="126"/>
    </row>
    <row r="68" spans="1:8" x14ac:dyDescent="0.25">
      <c r="A68" s="65">
        <v>67</v>
      </c>
      <c r="B68" s="60" t="s">
        <v>92</v>
      </c>
      <c r="C68" s="68">
        <v>230</v>
      </c>
      <c r="D68" s="97">
        <v>115.94202898550724</v>
      </c>
      <c r="E68" s="63">
        <f t="shared" si="3"/>
        <v>26666.666666666664</v>
      </c>
      <c r="F68" s="93">
        <f t="shared" si="4"/>
        <v>97933.333333333314</v>
      </c>
      <c r="G68" s="126"/>
    </row>
    <row r="69" spans="1:8" x14ac:dyDescent="0.25">
      <c r="A69" s="58">
        <v>68</v>
      </c>
      <c r="B69" s="60" t="s">
        <v>92</v>
      </c>
      <c r="C69" s="74">
        <v>440</v>
      </c>
      <c r="D69" s="103">
        <v>11.594202898550725</v>
      </c>
      <c r="E69" s="63">
        <f t="shared" si="3"/>
        <v>5101.449275362319</v>
      </c>
      <c r="F69" s="93">
        <f t="shared" si="4"/>
        <v>18735.072463768116</v>
      </c>
      <c r="G69" s="126"/>
    </row>
    <row r="70" spans="1:8" x14ac:dyDescent="0.25">
      <c r="A70" s="65">
        <v>69</v>
      </c>
      <c r="B70" s="60" t="s">
        <v>92</v>
      </c>
      <c r="C70" s="77">
        <v>235</v>
      </c>
      <c r="D70" s="105">
        <v>46.376811594202898</v>
      </c>
      <c r="E70" s="63">
        <f t="shared" si="3"/>
        <v>10898.550724637682</v>
      </c>
      <c r="F70" s="93">
        <f t="shared" si="4"/>
        <v>40024.927536231888</v>
      </c>
      <c r="G70" s="126"/>
    </row>
    <row r="71" spans="1:8" x14ac:dyDescent="0.25">
      <c r="A71" s="58">
        <v>70</v>
      </c>
      <c r="B71" s="60" t="s">
        <v>92</v>
      </c>
      <c r="C71" s="74">
        <v>5.5</v>
      </c>
      <c r="D71" s="103">
        <v>3666.6666666666665</v>
      </c>
      <c r="E71" s="63">
        <f>+C71*D71</f>
        <v>20166.666666666664</v>
      </c>
      <c r="F71" s="93">
        <f>E71*3.6725</f>
        <v>74062.083333333328</v>
      </c>
      <c r="G71" s="126"/>
    </row>
    <row r="72" spans="1:8" x14ac:dyDescent="0.25">
      <c r="A72" s="65">
        <v>71</v>
      </c>
      <c r="B72" s="60" t="s">
        <v>92</v>
      </c>
      <c r="C72" s="74">
        <v>5.5</v>
      </c>
      <c r="D72" s="103">
        <v>3666.6666666666665</v>
      </c>
      <c r="E72" s="63">
        <f>+C72*D72</f>
        <v>20166.666666666664</v>
      </c>
      <c r="F72" s="93">
        <f>E72*3.6725</f>
        <v>74062.083333333328</v>
      </c>
      <c r="G72" s="126"/>
    </row>
    <row r="73" spans="1:8" x14ac:dyDescent="0.25">
      <c r="A73" s="58">
        <v>72</v>
      </c>
      <c r="B73" s="60" t="s">
        <v>92</v>
      </c>
      <c r="C73" s="74">
        <v>4.9000000000000004</v>
      </c>
      <c r="D73" s="103">
        <v>1020.2898550724638</v>
      </c>
      <c r="E73" s="63">
        <f t="shared" si="3"/>
        <v>4999.420289855073</v>
      </c>
      <c r="F73" s="93">
        <f t="shared" si="4"/>
        <v>18360.371014492754</v>
      </c>
      <c r="G73" s="126"/>
    </row>
    <row r="74" spans="1:8" x14ac:dyDescent="0.25">
      <c r="A74" s="65">
        <v>73</v>
      </c>
      <c r="B74" s="60" t="s">
        <v>92</v>
      </c>
      <c r="C74" s="74">
        <v>1667.25</v>
      </c>
      <c r="D74" s="103">
        <v>11.594202898550725</v>
      </c>
      <c r="E74" s="63">
        <f t="shared" si="3"/>
        <v>19330.434782608696</v>
      </c>
      <c r="F74" s="93">
        <f t="shared" si="4"/>
        <v>70991.021739130432</v>
      </c>
      <c r="G74" s="126"/>
    </row>
    <row r="75" spans="1:8" x14ac:dyDescent="0.25">
      <c r="A75" s="58">
        <v>74</v>
      </c>
      <c r="B75" s="60" t="s">
        <v>92</v>
      </c>
      <c r="C75" s="68">
        <v>1667.25</v>
      </c>
      <c r="D75" s="97">
        <v>11.594202898550725</v>
      </c>
      <c r="E75" s="63">
        <f t="shared" si="3"/>
        <v>19330.434782608696</v>
      </c>
      <c r="F75" s="93">
        <f t="shared" si="4"/>
        <v>70991.021739130432</v>
      </c>
      <c r="G75" s="126"/>
    </row>
    <row r="76" spans="1:8" x14ac:dyDescent="0.25">
      <c r="A76" s="65">
        <v>75</v>
      </c>
      <c r="B76" s="60" t="s">
        <v>92</v>
      </c>
      <c r="C76" s="74">
        <v>360</v>
      </c>
      <c r="D76" s="103">
        <v>46.95652173913043</v>
      </c>
      <c r="E76" s="63">
        <f t="shared" si="3"/>
        <v>16904.347826086956</v>
      </c>
      <c r="F76" s="93">
        <f t="shared" si="4"/>
        <v>62081.217391304344</v>
      </c>
      <c r="G76" s="126"/>
    </row>
    <row r="77" spans="1:8" x14ac:dyDescent="0.25">
      <c r="A77" s="58">
        <v>76</v>
      </c>
      <c r="B77" s="60" t="s">
        <v>92</v>
      </c>
      <c r="C77" s="74">
        <v>1650</v>
      </c>
      <c r="D77" s="103">
        <v>9.27536231884058</v>
      </c>
      <c r="E77" s="63">
        <f t="shared" si="3"/>
        <v>15304.347826086958</v>
      </c>
      <c r="F77" s="93">
        <f t="shared" si="4"/>
        <v>56205.217391304352</v>
      </c>
      <c r="G77" s="126"/>
    </row>
    <row r="78" spans="1:8" ht="15.75" thickBot="1" x14ac:dyDescent="0.3">
      <c r="A78" s="65">
        <v>77</v>
      </c>
      <c r="B78" s="60" t="s">
        <v>92</v>
      </c>
      <c r="C78" s="74">
        <v>1850</v>
      </c>
      <c r="D78" s="103">
        <v>20</v>
      </c>
      <c r="E78" s="63">
        <f t="shared" si="3"/>
        <v>37000</v>
      </c>
      <c r="F78" s="93">
        <f t="shared" si="4"/>
        <v>135882.5</v>
      </c>
      <c r="G78" s="127"/>
      <c r="H78" s="86">
        <f>+SUM(F43:F78)</f>
        <v>3160986.9614492748</v>
      </c>
    </row>
    <row r="79" spans="1:8" x14ac:dyDescent="0.25">
      <c r="A79" s="58">
        <v>78</v>
      </c>
      <c r="B79" s="60" t="s">
        <v>92</v>
      </c>
      <c r="C79" s="74">
        <f>950+(2000/90)</f>
        <v>972.22222222222217</v>
      </c>
      <c r="D79" s="103">
        <v>52.173913043478258</v>
      </c>
      <c r="E79" s="63">
        <f t="shared" ref="E79:E81" si="5">+C79*D79</f>
        <v>50724.637681159416</v>
      </c>
      <c r="F79" s="93">
        <f t="shared" si="4"/>
        <v>186286.23188405795</v>
      </c>
      <c r="G79" s="125">
        <f>SUM(F79:F111)</f>
        <v>3519795.8532608696</v>
      </c>
      <c r="H79" s="86"/>
    </row>
    <row r="80" spans="1:8" x14ac:dyDescent="0.25">
      <c r="A80" s="65">
        <v>79</v>
      </c>
      <c r="B80" s="78" t="s">
        <v>93</v>
      </c>
      <c r="C80" s="74">
        <v>1960</v>
      </c>
      <c r="D80" s="103">
        <v>55.652173913043477</v>
      </c>
      <c r="E80" s="63">
        <f t="shared" si="5"/>
        <v>109078.26086956522</v>
      </c>
      <c r="F80" s="93">
        <f t="shared" si="4"/>
        <v>400589.91304347827</v>
      </c>
      <c r="G80" s="126"/>
      <c r="H80" s="86"/>
    </row>
    <row r="81" spans="1:8" x14ac:dyDescent="0.25">
      <c r="A81" s="58">
        <v>80</v>
      </c>
      <c r="B81" s="78" t="s">
        <v>93</v>
      </c>
      <c r="C81" s="74">
        <v>1650</v>
      </c>
      <c r="D81" s="103">
        <v>57.971014492753618</v>
      </c>
      <c r="E81" s="63">
        <f t="shared" si="5"/>
        <v>95652.173913043473</v>
      </c>
      <c r="F81" s="93">
        <f t="shared" si="4"/>
        <v>351282.60869565216</v>
      </c>
      <c r="G81" s="126"/>
      <c r="H81" s="86"/>
    </row>
    <row r="82" spans="1:8" x14ac:dyDescent="0.25">
      <c r="A82" s="65">
        <v>81</v>
      </c>
      <c r="B82" s="78" t="s">
        <v>93</v>
      </c>
      <c r="C82" s="74">
        <v>255</v>
      </c>
      <c r="D82" s="103">
        <v>579.13043478260863</v>
      </c>
      <c r="E82" s="63">
        <f t="shared" ref="E82" si="6">+C82*D82</f>
        <v>147678.26086956519</v>
      </c>
      <c r="F82" s="93">
        <f t="shared" si="4"/>
        <v>542348.41304347815</v>
      </c>
      <c r="G82" s="126"/>
      <c r="H82" s="86"/>
    </row>
    <row r="83" spans="1:8" x14ac:dyDescent="0.25">
      <c r="A83" s="58">
        <v>82</v>
      </c>
      <c r="B83" s="78" t="s">
        <v>93</v>
      </c>
      <c r="C83" s="54">
        <v>270</v>
      </c>
      <c r="D83" s="101">
        <v>9.27536231884058</v>
      </c>
      <c r="E83" s="63">
        <f t="shared" si="3"/>
        <v>2504.3478260869565</v>
      </c>
      <c r="F83" s="93">
        <f t="shared" si="4"/>
        <v>9197.217391304348</v>
      </c>
      <c r="G83" s="126"/>
    </row>
    <row r="84" spans="1:8" x14ac:dyDescent="0.25">
      <c r="A84" s="65">
        <v>83</v>
      </c>
      <c r="B84" s="78" t="s">
        <v>93</v>
      </c>
      <c r="C84" s="54">
        <v>1667.25</v>
      </c>
      <c r="D84" s="101">
        <v>11.594202898550725</v>
      </c>
      <c r="E84" s="63">
        <f t="shared" si="3"/>
        <v>19330.434782608696</v>
      </c>
      <c r="F84" s="93">
        <f t="shared" si="4"/>
        <v>70991.021739130432</v>
      </c>
      <c r="G84" s="126"/>
    </row>
    <row r="85" spans="1:8" x14ac:dyDescent="0.25">
      <c r="A85" s="58">
        <v>84</v>
      </c>
      <c r="B85" s="78" t="s">
        <v>93</v>
      </c>
      <c r="C85" s="54">
        <v>1772.7</v>
      </c>
      <c r="D85" s="101">
        <v>11.594202898550725</v>
      </c>
      <c r="E85" s="63">
        <f t="shared" si="3"/>
        <v>20553.043478260872</v>
      </c>
      <c r="F85" s="93">
        <f t="shared" si="4"/>
        <v>75481.052173913049</v>
      </c>
      <c r="G85" s="126"/>
    </row>
    <row r="86" spans="1:8" x14ac:dyDescent="0.25">
      <c r="A86" s="65">
        <v>85</v>
      </c>
      <c r="B86" s="78" t="s">
        <v>93</v>
      </c>
      <c r="C86" s="79">
        <v>269.5</v>
      </c>
      <c r="D86" s="106">
        <v>18.55072463768116</v>
      </c>
      <c r="E86" s="63">
        <f t="shared" si="3"/>
        <v>4999.420289855073</v>
      </c>
      <c r="F86" s="93">
        <f t="shared" si="4"/>
        <v>18360.371014492754</v>
      </c>
      <c r="G86" s="126"/>
    </row>
    <row r="87" spans="1:8" x14ac:dyDescent="0.25">
      <c r="A87" s="58">
        <v>86</v>
      </c>
      <c r="B87" s="78" t="s">
        <v>93</v>
      </c>
      <c r="C87" s="55">
        <v>310</v>
      </c>
      <c r="D87" s="101">
        <v>9.27536231884058</v>
      </c>
      <c r="E87" s="63">
        <f t="shared" si="3"/>
        <v>2875.36231884058</v>
      </c>
      <c r="F87" s="93">
        <f t="shared" si="4"/>
        <v>10559.76811594203</v>
      </c>
      <c r="G87" s="126"/>
    </row>
    <row r="88" spans="1:8" x14ac:dyDescent="0.25">
      <c r="A88" s="65">
        <v>87</v>
      </c>
      <c r="B88" s="78" t="s">
        <v>93</v>
      </c>
      <c r="C88" s="54">
        <v>1375</v>
      </c>
      <c r="D88" s="101">
        <v>7.4202898550724639</v>
      </c>
      <c r="E88" s="63">
        <f t="shared" si="3"/>
        <v>10202.898550724638</v>
      </c>
      <c r="F88" s="93">
        <f t="shared" si="4"/>
        <v>37470.144927536232</v>
      </c>
      <c r="G88" s="126"/>
    </row>
    <row r="89" spans="1:8" x14ac:dyDescent="0.25">
      <c r="A89" s="58">
        <v>88</v>
      </c>
      <c r="B89" s="78" t="s">
        <v>93</v>
      </c>
      <c r="C89" s="79">
        <v>270</v>
      </c>
      <c r="D89" s="106">
        <v>51.014492753623188</v>
      </c>
      <c r="E89" s="63">
        <f t="shared" si="3"/>
        <v>13773.91304347826</v>
      </c>
      <c r="F89" s="93">
        <f t="shared" si="4"/>
        <v>50584.695652173905</v>
      </c>
      <c r="G89" s="126"/>
    </row>
    <row r="90" spans="1:8" x14ac:dyDescent="0.25">
      <c r="A90" s="65">
        <v>89</v>
      </c>
      <c r="B90" s="78" t="s">
        <v>93</v>
      </c>
      <c r="C90" s="54">
        <v>2.5</v>
      </c>
      <c r="D90" s="101">
        <v>2391.304347826087</v>
      </c>
      <c r="E90" s="63">
        <f t="shared" si="3"/>
        <v>5978.2608695652179</v>
      </c>
      <c r="F90" s="93">
        <f t="shared" si="4"/>
        <v>21955.163043478264</v>
      </c>
      <c r="G90" s="126"/>
    </row>
    <row r="91" spans="1:8" x14ac:dyDescent="0.25">
      <c r="A91" s="58">
        <v>90</v>
      </c>
      <c r="B91" s="78" t="s">
        <v>93</v>
      </c>
      <c r="C91" s="55">
        <v>137.5</v>
      </c>
      <c r="D91" s="101">
        <v>510.14492753623188</v>
      </c>
      <c r="E91" s="63">
        <f t="shared" si="3"/>
        <v>70144.927536231888</v>
      </c>
      <c r="F91" s="93">
        <f t="shared" si="4"/>
        <v>257607.24637681158</v>
      </c>
      <c r="G91" s="126"/>
    </row>
    <row r="92" spans="1:8" x14ac:dyDescent="0.25">
      <c r="A92" s="65">
        <v>91</v>
      </c>
      <c r="B92" s="78" t="s">
        <v>93</v>
      </c>
      <c r="C92" s="52">
        <v>1667.25</v>
      </c>
      <c r="D92" s="102">
        <v>11.594202898550725</v>
      </c>
      <c r="E92" s="63">
        <f t="shared" si="3"/>
        <v>19330.434782608696</v>
      </c>
      <c r="F92" s="93">
        <f t="shared" si="4"/>
        <v>70991.021739130432</v>
      </c>
      <c r="G92" s="126"/>
    </row>
    <row r="93" spans="1:8" x14ac:dyDescent="0.25">
      <c r="A93" s="58">
        <v>92</v>
      </c>
      <c r="B93" s="78" t="s">
        <v>93</v>
      </c>
      <c r="C93" s="54">
        <v>1772.7</v>
      </c>
      <c r="D93" s="101">
        <v>11.594202898550725</v>
      </c>
      <c r="E93" s="63">
        <f t="shared" si="3"/>
        <v>20553.043478260872</v>
      </c>
      <c r="F93" s="93">
        <f t="shared" si="4"/>
        <v>75481.052173913049</v>
      </c>
      <c r="G93" s="126"/>
    </row>
    <row r="94" spans="1:8" x14ac:dyDescent="0.25">
      <c r="A94" s="65">
        <v>93</v>
      </c>
      <c r="B94" s="78" t="s">
        <v>93</v>
      </c>
      <c r="C94" s="55">
        <v>60</v>
      </c>
      <c r="D94" s="101">
        <v>411.59420289855069</v>
      </c>
      <c r="E94" s="63">
        <f t="shared" si="3"/>
        <v>24695.65217391304</v>
      </c>
      <c r="F94" s="93">
        <f t="shared" si="4"/>
        <v>90694.782608695634</v>
      </c>
      <c r="G94" s="126"/>
    </row>
    <row r="95" spans="1:8" x14ac:dyDescent="0.25">
      <c r="A95" s="58">
        <v>94</v>
      </c>
      <c r="B95" s="78" t="s">
        <v>93</v>
      </c>
      <c r="C95" s="52">
        <v>1667.25</v>
      </c>
      <c r="D95" s="102">
        <v>11.594202898550725</v>
      </c>
      <c r="E95" s="63">
        <f t="shared" si="3"/>
        <v>19330.434782608696</v>
      </c>
      <c r="F95" s="93">
        <f t="shared" si="4"/>
        <v>70991.021739130432</v>
      </c>
      <c r="G95" s="126"/>
    </row>
    <row r="96" spans="1:8" x14ac:dyDescent="0.25">
      <c r="A96" s="65">
        <v>95</v>
      </c>
      <c r="B96" s="78" t="s">
        <v>93</v>
      </c>
      <c r="C96" s="52">
        <v>1667.25</v>
      </c>
      <c r="D96" s="102">
        <v>23.188405797101449</v>
      </c>
      <c r="E96" s="63">
        <f t="shared" si="3"/>
        <v>38660.869565217392</v>
      </c>
      <c r="F96" s="93">
        <f t="shared" si="4"/>
        <v>141982.04347826086</v>
      </c>
      <c r="G96" s="126"/>
    </row>
    <row r="97" spans="1:8" x14ac:dyDescent="0.25">
      <c r="A97" s="58">
        <v>96</v>
      </c>
      <c r="B97" s="78" t="s">
        <v>93</v>
      </c>
      <c r="C97" s="54">
        <v>137.5</v>
      </c>
      <c r="D97" s="101">
        <v>162.31884057971013</v>
      </c>
      <c r="E97" s="63">
        <f t="shared" si="3"/>
        <v>22318.840579710144</v>
      </c>
      <c r="F97" s="93">
        <f t="shared" si="4"/>
        <v>81965.942028985504</v>
      </c>
      <c r="G97" s="126"/>
    </row>
    <row r="98" spans="1:8" x14ac:dyDescent="0.25">
      <c r="A98" s="65">
        <v>97</v>
      </c>
      <c r="B98" s="78" t="s">
        <v>93</v>
      </c>
      <c r="C98" s="54">
        <v>35</v>
      </c>
      <c r="D98" s="101">
        <v>86.956521739130437</v>
      </c>
      <c r="E98" s="63">
        <f t="shared" si="3"/>
        <v>3043.4782608695655</v>
      </c>
      <c r="F98" s="93">
        <f t="shared" si="4"/>
        <v>11177.173913043478</v>
      </c>
      <c r="G98" s="126"/>
    </row>
    <row r="99" spans="1:8" x14ac:dyDescent="0.25">
      <c r="A99" s="58">
        <v>98</v>
      </c>
      <c r="B99" s="78" t="s">
        <v>93</v>
      </c>
      <c r="C99" s="52">
        <v>6.9</v>
      </c>
      <c r="D99" s="102">
        <v>660.86956521739125</v>
      </c>
      <c r="E99" s="63">
        <f t="shared" si="3"/>
        <v>4560</v>
      </c>
      <c r="F99" s="93">
        <f t="shared" si="4"/>
        <v>16746.599999999999</v>
      </c>
      <c r="G99" s="126"/>
    </row>
    <row r="100" spans="1:8" x14ac:dyDescent="0.25">
      <c r="A100" s="65">
        <v>99</v>
      </c>
      <c r="B100" s="78" t="s">
        <v>93</v>
      </c>
      <c r="C100" s="52">
        <v>9.9</v>
      </c>
      <c r="D100" s="102">
        <v>765.21739130434776</v>
      </c>
      <c r="E100" s="63">
        <f t="shared" si="3"/>
        <v>7575.652173913043</v>
      </c>
      <c r="F100" s="93">
        <f t="shared" si="4"/>
        <v>27821.582608695651</v>
      </c>
      <c r="G100" s="126"/>
    </row>
    <row r="101" spans="1:8" x14ac:dyDescent="0.25">
      <c r="A101" s="58">
        <v>100</v>
      </c>
      <c r="B101" s="78" t="s">
        <v>93</v>
      </c>
      <c r="C101" s="54">
        <v>385</v>
      </c>
      <c r="D101" s="101">
        <v>46.376811594202898</v>
      </c>
      <c r="E101" s="63">
        <f t="shared" si="3"/>
        <v>17855.072463768116</v>
      </c>
      <c r="F101" s="93">
        <f t="shared" si="4"/>
        <v>65572.753623188401</v>
      </c>
      <c r="G101" s="126"/>
    </row>
    <row r="102" spans="1:8" x14ac:dyDescent="0.25">
      <c r="A102" s="65">
        <v>101</v>
      </c>
      <c r="B102" s="78" t="s">
        <v>93</v>
      </c>
      <c r="C102" s="54">
        <v>137.5</v>
      </c>
      <c r="D102" s="101">
        <v>231.88405797101447</v>
      </c>
      <c r="E102" s="63">
        <f t="shared" si="3"/>
        <v>31884.057971014488</v>
      </c>
      <c r="F102" s="93">
        <f t="shared" si="4"/>
        <v>117094.20289855071</v>
      </c>
      <c r="G102" s="126"/>
    </row>
    <row r="103" spans="1:8" x14ac:dyDescent="0.25">
      <c r="A103" s="58">
        <v>102</v>
      </c>
      <c r="B103" s="78" t="s">
        <v>93</v>
      </c>
      <c r="C103" s="54">
        <v>270</v>
      </c>
      <c r="D103" s="101">
        <v>46.376811594202898</v>
      </c>
      <c r="E103" s="63">
        <f t="shared" si="3"/>
        <v>12521.739130434782</v>
      </c>
      <c r="F103" s="93">
        <f t="shared" si="4"/>
        <v>45986.086956521736</v>
      </c>
      <c r="G103" s="126"/>
    </row>
    <row r="104" spans="1:8" x14ac:dyDescent="0.25">
      <c r="A104" s="65">
        <v>103</v>
      </c>
      <c r="B104" s="78" t="s">
        <v>93</v>
      </c>
      <c r="C104" s="54">
        <v>1960</v>
      </c>
      <c r="D104" s="101">
        <v>10</v>
      </c>
      <c r="E104" s="63">
        <f t="shared" si="3"/>
        <v>19600</v>
      </c>
      <c r="F104" s="93">
        <f t="shared" si="4"/>
        <v>71981</v>
      </c>
      <c r="G104" s="126"/>
    </row>
    <row r="105" spans="1:8" x14ac:dyDescent="0.25">
      <c r="A105" s="58">
        <v>104</v>
      </c>
      <c r="B105" s="78" t="s">
        <v>93</v>
      </c>
      <c r="C105" s="54">
        <v>143.75</v>
      </c>
      <c r="D105" s="101">
        <v>173.91304347826087</v>
      </c>
      <c r="E105" s="63">
        <f t="shared" si="3"/>
        <v>25000</v>
      </c>
      <c r="F105" s="93">
        <f t="shared" si="4"/>
        <v>91812.5</v>
      </c>
      <c r="G105" s="126"/>
    </row>
    <row r="106" spans="1:8" x14ac:dyDescent="0.25">
      <c r="A106" s="65">
        <v>105</v>
      </c>
      <c r="B106" s="78" t="s">
        <v>93</v>
      </c>
      <c r="C106" s="54">
        <v>315</v>
      </c>
      <c r="D106" s="101">
        <v>23.188405797101449</v>
      </c>
      <c r="E106" s="63">
        <f t="shared" si="3"/>
        <v>7304.347826086957</v>
      </c>
      <c r="F106" s="93">
        <f t="shared" si="4"/>
        <v>26825.217391304348</v>
      </c>
      <c r="G106" s="126"/>
    </row>
    <row r="107" spans="1:8" x14ac:dyDescent="0.25">
      <c r="A107" s="58">
        <v>106</v>
      </c>
      <c r="B107" s="78" t="s">
        <v>93</v>
      </c>
      <c r="C107" s="54">
        <v>260</v>
      </c>
      <c r="D107" s="101">
        <v>46.376811594202898</v>
      </c>
      <c r="E107" s="63">
        <f t="shared" si="3"/>
        <v>12057.971014492754</v>
      </c>
      <c r="F107" s="93">
        <f t="shared" si="4"/>
        <v>44282.89855072464</v>
      </c>
      <c r="G107" s="126"/>
    </row>
    <row r="108" spans="1:8" x14ac:dyDescent="0.25">
      <c r="A108" s="65">
        <v>107</v>
      </c>
      <c r="B108" s="78" t="s">
        <v>93</v>
      </c>
      <c r="C108" s="54">
        <v>290</v>
      </c>
      <c r="D108" s="101">
        <v>92.753623188405797</v>
      </c>
      <c r="E108" s="63">
        <f t="shared" si="3"/>
        <v>26898.55072463768</v>
      </c>
      <c r="F108" s="93">
        <f t="shared" si="4"/>
        <v>98784.927536231873</v>
      </c>
      <c r="G108" s="126"/>
    </row>
    <row r="109" spans="1:8" x14ac:dyDescent="0.25">
      <c r="A109" s="58">
        <v>108</v>
      </c>
      <c r="B109" s="78" t="s">
        <v>93</v>
      </c>
      <c r="C109" s="79">
        <v>270</v>
      </c>
      <c r="D109" s="106">
        <v>92.753623188405797</v>
      </c>
      <c r="E109" s="63">
        <f t="shared" si="3"/>
        <v>25043.478260869564</v>
      </c>
      <c r="F109" s="93">
        <f t="shared" si="4"/>
        <v>91972.173913043473</v>
      </c>
      <c r="G109" s="126"/>
    </row>
    <row r="110" spans="1:8" x14ac:dyDescent="0.25">
      <c r="A110" s="65">
        <v>109</v>
      </c>
      <c r="B110" s="78" t="s">
        <v>93</v>
      </c>
      <c r="C110" s="52">
        <v>1667.25</v>
      </c>
      <c r="D110" s="102">
        <v>20</v>
      </c>
      <c r="E110" s="63">
        <f t="shared" si="3"/>
        <v>33345</v>
      </c>
      <c r="F110" s="93">
        <f t="shared" si="4"/>
        <v>122459.5125</v>
      </c>
      <c r="G110" s="126"/>
    </row>
    <row r="111" spans="1:8" ht="15.75" thickBot="1" x14ac:dyDescent="0.3">
      <c r="A111" s="58">
        <v>110</v>
      </c>
      <c r="B111" s="78" t="s">
        <v>93</v>
      </c>
      <c r="C111" s="52">
        <v>1667.25</v>
      </c>
      <c r="D111" s="102">
        <v>20</v>
      </c>
      <c r="E111" s="63">
        <f t="shared" si="3"/>
        <v>33345</v>
      </c>
      <c r="F111" s="93">
        <f t="shared" si="4"/>
        <v>122459.5125</v>
      </c>
      <c r="G111" s="127"/>
      <c r="H111" s="86">
        <f>+SUM(F79:F111)</f>
        <v>3519795.8532608696</v>
      </c>
    </row>
    <row r="112" spans="1:8" x14ac:dyDescent="0.25">
      <c r="A112" s="65">
        <v>111</v>
      </c>
      <c r="B112" s="81" t="s">
        <v>94</v>
      </c>
      <c r="C112" s="61">
        <v>28.75</v>
      </c>
      <c r="D112" s="95">
        <v>340.86956521739131</v>
      </c>
      <c r="E112" s="63">
        <f t="shared" si="3"/>
        <v>9800</v>
      </c>
      <c r="F112" s="93">
        <f t="shared" si="4"/>
        <v>35990.5</v>
      </c>
      <c r="G112" s="125">
        <f>SUM(F112:F135)</f>
        <v>3850934.8549622144</v>
      </c>
    </row>
    <row r="113" spans="1:7" x14ac:dyDescent="0.25">
      <c r="A113" s="58">
        <v>112</v>
      </c>
      <c r="B113" s="81" t="s">
        <v>94</v>
      </c>
      <c r="C113" s="54">
        <v>360</v>
      </c>
      <c r="D113" s="101">
        <v>173.91304347826087</v>
      </c>
      <c r="E113" s="63">
        <f t="shared" ref="E113:E114" si="7">+C113*D113</f>
        <v>62608.695652173912</v>
      </c>
      <c r="F113" s="93">
        <f t="shared" si="4"/>
        <v>229930.43478260867</v>
      </c>
      <c r="G113" s="126"/>
    </row>
    <row r="114" spans="1:7" x14ac:dyDescent="0.25">
      <c r="A114" s="65">
        <v>113</v>
      </c>
      <c r="B114" s="81" t="s">
        <v>94</v>
      </c>
      <c r="C114" s="54">
        <v>446</v>
      </c>
      <c r="D114" s="101">
        <v>579.71014492753625</v>
      </c>
      <c r="E114" s="63">
        <f t="shared" si="7"/>
        <v>258550.72463768115</v>
      </c>
      <c r="F114" s="93">
        <f t="shared" si="4"/>
        <v>949527.53623188403</v>
      </c>
      <c r="G114" s="126"/>
    </row>
    <row r="115" spans="1:7" x14ac:dyDescent="0.25">
      <c r="A115" s="58">
        <v>114</v>
      </c>
      <c r="B115" s="81" t="s">
        <v>94</v>
      </c>
      <c r="C115" s="62">
        <v>141.25</v>
      </c>
      <c r="D115" s="95">
        <v>666.66666666666663</v>
      </c>
      <c r="E115" s="63">
        <f t="shared" si="3"/>
        <v>94166.666666666657</v>
      </c>
      <c r="F115" s="93">
        <f t="shared" si="4"/>
        <v>345827.08333333331</v>
      </c>
      <c r="G115" s="126"/>
    </row>
    <row r="116" spans="1:7" x14ac:dyDescent="0.25">
      <c r="A116" s="65">
        <v>115</v>
      </c>
      <c r="B116" s="81" t="s">
        <v>94</v>
      </c>
      <c r="C116" s="54">
        <v>345</v>
      </c>
      <c r="D116" s="101">
        <v>92.753623188405797</v>
      </c>
      <c r="E116" s="63">
        <f t="shared" ref="E116:E117" si="8">+C116*D116</f>
        <v>32000</v>
      </c>
      <c r="F116" s="93">
        <f t="shared" si="4"/>
        <v>117520</v>
      </c>
      <c r="G116" s="126"/>
    </row>
    <row r="117" spans="1:7" x14ac:dyDescent="0.25">
      <c r="A117" s="58">
        <v>116</v>
      </c>
      <c r="B117" s="81" t="s">
        <v>94</v>
      </c>
      <c r="C117" s="54">
        <v>1960</v>
      </c>
      <c r="D117" s="101">
        <v>18.55072463768116</v>
      </c>
      <c r="E117" s="63">
        <f t="shared" si="8"/>
        <v>36359.420289855072</v>
      </c>
      <c r="F117" s="93">
        <f t="shared" si="4"/>
        <v>133529.97101449274</v>
      </c>
      <c r="G117" s="126"/>
    </row>
    <row r="118" spans="1:7" x14ac:dyDescent="0.25">
      <c r="A118" s="65">
        <v>117</v>
      </c>
      <c r="B118" s="81" t="s">
        <v>94</v>
      </c>
      <c r="C118" s="54">
        <v>81.25</v>
      </c>
      <c r="D118" s="101">
        <v>850</v>
      </c>
      <c r="E118" s="63">
        <f>+C118*D118</f>
        <v>69062.5</v>
      </c>
      <c r="F118" s="93">
        <f>E118*3.6725</f>
        <v>253632.03125</v>
      </c>
      <c r="G118" s="126"/>
    </row>
    <row r="119" spans="1:7" x14ac:dyDescent="0.25">
      <c r="A119" s="58">
        <v>118</v>
      </c>
      <c r="B119" s="81" t="s">
        <v>94</v>
      </c>
      <c r="C119" s="61">
        <v>270</v>
      </c>
      <c r="D119" s="95">
        <v>20.289855072463766</v>
      </c>
      <c r="E119" s="63">
        <f t="shared" si="3"/>
        <v>5478.260869565217</v>
      </c>
      <c r="F119" s="93">
        <f t="shared" si="4"/>
        <v>20118.91304347826</v>
      </c>
      <c r="G119" s="126"/>
    </row>
    <row r="120" spans="1:7" x14ac:dyDescent="0.25">
      <c r="A120" s="65">
        <v>119</v>
      </c>
      <c r="B120" s="81" t="s">
        <v>94</v>
      </c>
      <c r="C120" s="82">
        <v>269.5</v>
      </c>
      <c r="D120" s="107">
        <v>23.188405797101449</v>
      </c>
      <c r="E120" s="63">
        <f t="shared" si="3"/>
        <v>6249.275362318841</v>
      </c>
      <c r="F120" s="93">
        <f t="shared" si="4"/>
        <v>22950.463768115944</v>
      </c>
      <c r="G120" s="126"/>
    </row>
    <row r="121" spans="1:7" x14ac:dyDescent="0.25">
      <c r="A121" s="58">
        <v>120</v>
      </c>
      <c r="B121" s="81" t="s">
        <v>94</v>
      </c>
      <c r="C121" s="61">
        <v>495</v>
      </c>
      <c r="D121" s="95">
        <v>92.753623188405797</v>
      </c>
      <c r="E121" s="63">
        <f t="shared" si="3"/>
        <v>45913.043478260872</v>
      </c>
      <c r="F121" s="93">
        <f t="shared" si="4"/>
        <v>168615.65217391305</v>
      </c>
      <c r="G121" s="126"/>
    </row>
    <row r="122" spans="1:7" x14ac:dyDescent="0.25">
      <c r="A122" s="65">
        <v>121</v>
      </c>
      <c r="B122" s="81" t="s">
        <v>94</v>
      </c>
      <c r="C122" s="61">
        <v>2100</v>
      </c>
      <c r="D122" s="95">
        <v>9.27536231884058</v>
      </c>
      <c r="E122" s="63">
        <f t="shared" si="3"/>
        <v>19478.26086956522</v>
      </c>
      <c r="F122" s="93">
        <f t="shared" si="4"/>
        <v>71533.913043478271</v>
      </c>
      <c r="G122" s="126"/>
    </row>
    <row r="123" spans="1:7" x14ac:dyDescent="0.25">
      <c r="A123" s="58">
        <v>122</v>
      </c>
      <c r="B123" s="81" t="s">
        <v>94</v>
      </c>
      <c r="C123" s="61">
        <v>1450</v>
      </c>
      <c r="D123" s="95">
        <v>9.27536231884058</v>
      </c>
      <c r="E123" s="63">
        <f t="shared" si="3"/>
        <v>13449.275362318842</v>
      </c>
      <c r="F123" s="93">
        <f t="shared" si="4"/>
        <v>49392.463768115944</v>
      </c>
      <c r="G123" s="126"/>
    </row>
    <row r="124" spans="1:7" x14ac:dyDescent="0.25">
      <c r="A124" s="65">
        <v>123</v>
      </c>
      <c r="B124" s="81" t="s">
        <v>94</v>
      </c>
      <c r="C124" s="82">
        <v>86.87</v>
      </c>
      <c r="D124" s="107">
        <v>230</v>
      </c>
      <c r="E124" s="63">
        <f t="shared" si="3"/>
        <v>19980.100000000002</v>
      </c>
      <c r="F124" s="93">
        <f t="shared" si="4"/>
        <v>73376.917249999999</v>
      </c>
      <c r="G124" s="126"/>
    </row>
    <row r="125" spans="1:7" x14ac:dyDescent="0.25">
      <c r="A125" s="58">
        <v>124</v>
      </c>
      <c r="B125" s="81" t="s">
        <v>94</v>
      </c>
      <c r="C125" s="82">
        <v>315</v>
      </c>
      <c r="D125" s="107">
        <v>347.82608695652175</v>
      </c>
      <c r="E125" s="63">
        <f t="shared" si="3"/>
        <v>109565.21739130435</v>
      </c>
      <c r="F125" s="93">
        <f t="shared" si="4"/>
        <v>402378.26086956525</v>
      </c>
      <c r="G125" s="126"/>
    </row>
    <row r="126" spans="1:7" x14ac:dyDescent="0.25">
      <c r="A126" s="65">
        <v>125</v>
      </c>
      <c r="B126" s="83" t="s">
        <v>94</v>
      </c>
      <c r="C126" s="82">
        <v>270</v>
      </c>
      <c r="D126" s="107">
        <v>51.014492753623188</v>
      </c>
      <c r="E126" s="63">
        <f t="shared" si="3"/>
        <v>13773.91304347826</v>
      </c>
      <c r="F126" s="93">
        <f t="shared" si="4"/>
        <v>50584.695652173905</v>
      </c>
      <c r="G126" s="126"/>
    </row>
    <row r="127" spans="1:7" x14ac:dyDescent="0.25">
      <c r="A127" s="58">
        <v>126</v>
      </c>
      <c r="B127" s="83" t="s">
        <v>94</v>
      </c>
      <c r="C127" s="61">
        <v>607.5</v>
      </c>
      <c r="D127" s="95">
        <v>46.376811594202898</v>
      </c>
      <c r="E127" s="63">
        <f t="shared" si="3"/>
        <v>28173.91304347826</v>
      </c>
      <c r="F127" s="93">
        <f t="shared" si="4"/>
        <v>103468.6956521739</v>
      </c>
      <c r="G127" s="126"/>
    </row>
    <row r="128" spans="1:7" x14ac:dyDescent="0.25">
      <c r="A128" s="65">
        <v>127</v>
      </c>
      <c r="B128" s="83" t="s">
        <v>94</v>
      </c>
      <c r="C128" s="68">
        <v>8.1199999999999992</v>
      </c>
      <c r="D128" s="97">
        <v>400</v>
      </c>
      <c r="E128" s="63">
        <f t="shared" si="3"/>
        <v>3247.9999999999995</v>
      </c>
      <c r="F128" s="93">
        <f t="shared" si="4"/>
        <v>11928.279999999999</v>
      </c>
      <c r="G128" s="126"/>
    </row>
    <row r="129" spans="1:8" x14ac:dyDescent="0.25">
      <c r="A129" s="58">
        <v>128</v>
      </c>
      <c r="B129" s="83" t="s">
        <v>94</v>
      </c>
      <c r="C129" s="68">
        <v>337.34</v>
      </c>
      <c r="D129" s="97">
        <v>92.753623188405797</v>
      </c>
      <c r="E129" s="63">
        <f t="shared" ref="E129:E166" si="9">+C129*D129</f>
        <v>31289.507246376808</v>
      </c>
      <c r="F129" s="93">
        <f t="shared" ref="F129:F166" si="10">E129*3.6725</f>
        <v>114910.71536231882</v>
      </c>
      <c r="G129" s="126"/>
    </row>
    <row r="130" spans="1:8" x14ac:dyDescent="0.25">
      <c r="A130" s="65">
        <v>129</v>
      </c>
      <c r="B130" s="83" t="s">
        <v>94</v>
      </c>
      <c r="C130" s="61">
        <v>270</v>
      </c>
      <c r="D130" s="95">
        <v>92.753623188405797</v>
      </c>
      <c r="E130" s="63">
        <f t="shared" si="9"/>
        <v>25043.478260869564</v>
      </c>
      <c r="F130" s="93">
        <f t="shared" si="10"/>
        <v>91972.173913043473</v>
      </c>
      <c r="G130" s="126"/>
    </row>
    <row r="131" spans="1:8" x14ac:dyDescent="0.25">
      <c r="A131" s="58">
        <v>130</v>
      </c>
      <c r="B131" s="83" t="s">
        <v>94</v>
      </c>
      <c r="C131" s="61">
        <v>446</v>
      </c>
      <c r="D131" s="95">
        <v>250</v>
      </c>
      <c r="E131" s="63">
        <f t="shared" si="9"/>
        <v>111500</v>
      </c>
      <c r="F131" s="93">
        <f t="shared" si="10"/>
        <v>409483.75</v>
      </c>
      <c r="G131" s="126"/>
    </row>
    <row r="132" spans="1:8" x14ac:dyDescent="0.25">
      <c r="A132" s="65">
        <v>131</v>
      </c>
      <c r="B132" s="83" t="s">
        <v>94</v>
      </c>
      <c r="C132" s="68">
        <v>358.76</v>
      </c>
      <c r="D132" s="97">
        <v>46.376811594202898</v>
      </c>
      <c r="E132" s="63">
        <f t="shared" si="9"/>
        <v>16638.144927536232</v>
      </c>
      <c r="F132" s="93">
        <f t="shared" si="10"/>
        <v>61103.58724637681</v>
      </c>
      <c r="G132" s="126"/>
    </row>
    <row r="133" spans="1:8" x14ac:dyDescent="0.25">
      <c r="A133" s="58">
        <v>132</v>
      </c>
      <c r="B133" s="83" t="s">
        <v>94</v>
      </c>
      <c r="C133" s="68">
        <v>22.97</v>
      </c>
      <c r="D133" s="97">
        <v>235.71428571428572</v>
      </c>
      <c r="E133" s="63">
        <f t="shared" si="9"/>
        <v>5414.3571428571431</v>
      </c>
      <c r="F133" s="93">
        <f t="shared" si="10"/>
        <v>19884.226607142857</v>
      </c>
      <c r="G133" s="126"/>
    </row>
    <row r="134" spans="1:8" x14ac:dyDescent="0.25">
      <c r="A134" s="65">
        <v>133</v>
      </c>
      <c r="B134" s="83" t="s">
        <v>94</v>
      </c>
      <c r="C134" s="68">
        <v>16.36</v>
      </c>
      <c r="D134" s="97">
        <v>400</v>
      </c>
      <c r="E134" s="63">
        <f t="shared" si="9"/>
        <v>6544</v>
      </c>
      <c r="F134" s="93">
        <f t="shared" si="10"/>
        <v>24032.84</v>
      </c>
      <c r="G134" s="126"/>
    </row>
    <row r="135" spans="1:8" ht="15.75" thickBot="1" x14ac:dyDescent="0.3">
      <c r="A135" s="58">
        <v>134</v>
      </c>
      <c r="B135" s="83" t="s">
        <v>94</v>
      </c>
      <c r="C135" s="68">
        <v>540</v>
      </c>
      <c r="D135" s="97">
        <v>45</v>
      </c>
      <c r="E135" s="63">
        <f t="shared" si="9"/>
        <v>24300</v>
      </c>
      <c r="F135" s="93">
        <f t="shared" si="10"/>
        <v>89241.75</v>
      </c>
      <c r="G135" s="127"/>
      <c r="H135" s="86">
        <f>+SUM(F112:F135)</f>
        <v>3850934.8549622144</v>
      </c>
    </row>
    <row r="136" spans="1:8" x14ac:dyDescent="0.25">
      <c r="A136" s="65">
        <v>135</v>
      </c>
      <c r="B136" s="83" t="s">
        <v>94</v>
      </c>
      <c r="C136" s="52">
        <v>340</v>
      </c>
      <c r="D136" s="102">
        <v>90</v>
      </c>
      <c r="E136" s="63">
        <f t="shared" si="9"/>
        <v>30600</v>
      </c>
      <c r="F136" s="93">
        <f t="shared" si="10"/>
        <v>112378.5</v>
      </c>
      <c r="G136" s="125">
        <f>SUM(F136:F166)</f>
        <v>4178426.716302536</v>
      </c>
    </row>
    <row r="137" spans="1:8" x14ac:dyDescent="0.25">
      <c r="A137" s="58">
        <v>136</v>
      </c>
      <c r="B137" s="83" t="s">
        <v>94</v>
      </c>
      <c r="C137" s="52">
        <v>270</v>
      </c>
      <c r="D137" s="102">
        <v>90</v>
      </c>
      <c r="E137" s="63">
        <f t="shared" si="9"/>
        <v>24300</v>
      </c>
      <c r="F137" s="93">
        <f t="shared" si="10"/>
        <v>89241.75</v>
      </c>
      <c r="G137" s="126"/>
    </row>
    <row r="138" spans="1:8" x14ac:dyDescent="0.25">
      <c r="A138" s="60"/>
      <c r="B138" s="81" t="s">
        <v>94</v>
      </c>
      <c r="C138" s="62">
        <v>141.25</v>
      </c>
      <c r="D138" s="95">
        <v>650</v>
      </c>
      <c r="E138" s="63">
        <f t="shared" si="9"/>
        <v>91812.5</v>
      </c>
      <c r="F138" s="93">
        <f t="shared" si="10"/>
        <v>337181.40625</v>
      </c>
      <c r="G138" s="126"/>
    </row>
    <row r="139" spans="1:8" x14ac:dyDescent="0.25">
      <c r="A139" s="60">
        <v>134</v>
      </c>
      <c r="B139" s="83" t="s">
        <v>94</v>
      </c>
      <c r="C139" s="61">
        <v>446</v>
      </c>
      <c r="D139" s="95">
        <v>570</v>
      </c>
      <c r="E139" s="63">
        <f>+C139*D139</f>
        <v>254220</v>
      </c>
      <c r="F139" s="93">
        <f>E139*3.6725</f>
        <v>933622.95</v>
      </c>
      <c r="G139" s="126"/>
    </row>
    <row r="140" spans="1:8" x14ac:dyDescent="0.25">
      <c r="A140" s="60">
        <v>153</v>
      </c>
      <c r="B140" s="80" t="s">
        <v>95</v>
      </c>
      <c r="C140" s="52">
        <v>414.38</v>
      </c>
      <c r="D140" s="102">
        <v>45</v>
      </c>
      <c r="E140" s="63">
        <f t="shared" si="9"/>
        <v>18647.099999999999</v>
      </c>
      <c r="F140" s="93">
        <f t="shared" si="10"/>
        <v>68481.474749999994</v>
      </c>
      <c r="G140" s="126"/>
    </row>
    <row r="141" spans="1:8" x14ac:dyDescent="0.25">
      <c r="A141" s="64">
        <v>154</v>
      </c>
      <c r="B141" s="80" t="s">
        <v>95</v>
      </c>
      <c r="C141" s="52">
        <v>447.38</v>
      </c>
      <c r="D141" s="102">
        <v>45</v>
      </c>
      <c r="E141" s="63">
        <f t="shared" si="9"/>
        <v>20132.099999999999</v>
      </c>
      <c r="F141" s="93">
        <f t="shared" si="10"/>
        <v>73935.137249999985</v>
      </c>
      <c r="G141" s="126"/>
    </row>
    <row r="142" spans="1:8" x14ac:dyDescent="0.25">
      <c r="A142" s="60">
        <v>155</v>
      </c>
      <c r="B142" s="80" t="s">
        <v>95</v>
      </c>
      <c r="C142" s="52">
        <v>1667.25</v>
      </c>
      <c r="D142" s="102">
        <v>10</v>
      </c>
      <c r="E142" s="63">
        <f t="shared" si="9"/>
        <v>16672.5</v>
      </c>
      <c r="F142" s="93">
        <f t="shared" si="10"/>
        <v>61229.756249999999</v>
      </c>
      <c r="G142" s="126"/>
    </row>
    <row r="143" spans="1:8" x14ac:dyDescent="0.25">
      <c r="A143" s="60">
        <v>156</v>
      </c>
      <c r="B143" s="80" t="s">
        <v>95</v>
      </c>
      <c r="C143" s="52">
        <v>1667.25</v>
      </c>
      <c r="D143" s="102">
        <v>10</v>
      </c>
      <c r="E143" s="63">
        <f t="shared" si="9"/>
        <v>16672.5</v>
      </c>
      <c r="F143" s="93">
        <f t="shared" si="10"/>
        <v>61229.756249999999</v>
      </c>
      <c r="G143" s="126"/>
    </row>
    <row r="144" spans="1:8" x14ac:dyDescent="0.25">
      <c r="A144" s="64">
        <v>157</v>
      </c>
      <c r="B144" s="80" t="s">
        <v>95</v>
      </c>
      <c r="C144" s="52">
        <v>1685</v>
      </c>
      <c r="D144" s="102">
        <v>10</v>
      </c>
      <c r="E144" s="63">
        <f t="shared" si="9"/>
        <v>16850</v>
      </c>
      <c r="F144" s="93">
        <f t="shared" si="10"/>
        <v>61881.625</v>
      </c>
      <c r="G144" s="126"/>
    </row>
    <row r="145" spans="1:7" x14ac:dyDescent="0.25">
      <c r="A145" s="60">
        <v>158</v>
      </c>
      <c r="B145" s="80" t="s">
        <v>95</v>
      </c>
      <c r="C145" s="52">
        <v>1790</v>
      </c>
      <c r="D145" s="102">
        <v>10</v>
      </c>
      <c r="E145" s="63">
        <f t="shared" si="9"/>
        <v>17900</v>
      </c>
      <c r="F145" s="93">
        <f t="shared" si="10"/>
        <v>65737.75</v>
      </c>
      <c r="G145" s="126"/>
    </row>
    <row r="146" spans="1:7" x14ac:dyDescent="0.25">
      <c r="A146" s="60">
        <v>159</v>
      </c>
      <c r="B146" s="80" t="s">
        <v>95</v>
      </c>
      <c r="C146" s="52">
        <v>1960</v>
      </c>
      <c r="D146" s="102">
        <v>18.55072463768116</v>
      </c>
      <c r="E146" s="63">
        <f t="shared" si="9"/>
        <v>36359.420289855072</v>
      </c>
      <c r="F146" s="93">
        <f t="shared" si="10"/>
        <v>133529.97101449274</v>
      </c>
      <c r="G146" s="126"/>
    </row>
    <row r="147" spans="1:7" x14ac:dyDescent="0.25">
      <c r="A147" s="64">
        <v>160</v>
      </c>
      <c r="B147" s="80" t="s">
        <v>95</v>
      </c>
      <c r="C147" s="52">
        <v>27.5</v>
      </c>
      <c r="D147" s="102">
        <v>160</v>
      </c>
      <c r="E147" s="63">
        <f t="shared" si="9"/>
        <v>4400</v>
      </c>
      <c r="F147" s="93">
        <f t="shared" si="10"/>
        <v>16159</v>
      </c>
      <c r="G147" s="126"/>
    </row>
    <row r="148" spans="1:7" x14ac:dyDescent="0.25">
      <c r="A148" s="60">
        <v>161</v>
      </c>
      <c r="B148" s="80" t="s">
        <v>95</v>
      </c>
      <c r="C148" s="54">
        <v>1900</v>
      </c>
      <c r="D148" s="101">
        <v>16</v>
      </c>
      <c r="E148" s="63">
        <f t="shared" si="9"/>
        <v>30400</v>
      </c>
      <c r="F148" s="93">
        <f t="shared" si="10"/>
        <v>111644</v>
      </c>
      <c r="G148" s="126"/>
    </row>
    <row r="149" spans="1:7" x14ac:dyDescent="0.25">
      <c r="A149" s="60">
        <v>162</v>
      </c>
      <c r="B149" s="80" t="s">
        <v>95</v>
      </c>
      <c r="C149" s="52">
        <v>1667.25</v>
      </c>
      <c r="D149" s="102">
        <v>11.594202898550725</v>
      </c>
      <c r="E149" s="63">
        <f t="shared" si="9"/>
        <v>19330.434782608696</v>
      </c>
      <c r="F149" s="93">
        <f t="shared" si="10"/>
        <v>70991.021739130432</v>
      </c>
      <c r="G149" s="126"/>
    </row>
    <row r="150" spans="1:7" x14ac:dyDescent="0.25">
      <c r="A150" s="64">
        <v>163</v>
      </c>
      <c r="B150" s="80" t="s">
        <v>95</v>
      </c>
      <c r="C150" s="52">
        <v>1667.25</v>
      </c>
      <c r="D150" s="102">
        <v>11.594202898550725</v>
      </c>
      <c r="E150" s="63">
        <f t="shared" si="9"/>
        <v>19330.434782608696</v>
      </c>
      <c r="F150" s="93">
        <f t="shared" si="10"/>
        <v>70991.021739130432</v>
      </c>
      <c r="G150" s="126"/>
    </row>
    <row r="151" spans="1:7" x14ac:dyDescent="0.25">
      <c r="A151" s="60">
        <v>165</v>
      </c>
      <c r="B151" s="80" t="s">
        <v>95</v>
      </c>
      <c r="C151" s="52">
        <v>1667.25</v>
      </c>
      <c r="D151" s="102">
        <v>23.188405797101449</v>
      </c>
      <c r="E151" s="63">
        <f t="shared" si="9"/>
        <v>38660.869565217392</v>
      </c>
      <c r="F151" s="93">
        <f t="shared" si="10"/>
        <v>141982.04347826086</v>
      </c>
      <c r="G151" s="126"/>
    </row>
    <row r="152" spans="1:7" x14ac:dyDescent="0.25">
      <c r="A152" s="64">
        <v>166</v>
      </c>
      <c r="B152" s="80" t="s">
        <v>95</v>
      </c>
      <c r="C152" s="52">
        <v>320</v>
      </c>
      <c r="D152" s="102">
        <v>139.13043478260869</v>
      </c>
      <c r="E152" s="63">
        <f t="shared" si="9"/>
        <v>44521.739130434784</v>
      </c>
      <c r="F152" s="93">
        <f t="shared" si="10"/>
        <v>163506.08695652173</v>
      </c>
      <c r="G152" s="126"/>
    </row>
    <row r="153" spans="1:7" x14ac:dyDescent="0.25">
      <c r="A153" s="60">
        <v>167</v>
      </c>
      <c r="B153" s="80" t="s">
        <v>95</v>
      </c>
      <c r="C153" s="52">
        <v>22</v>
      </c>
      <c r="D153" s="102">
        <v>400</v>
      </c>
      <c r="E153" s="63">
        <f t="shared" si="9"/>
        <v>8800</v>
      </c>
      <c r="F153" s="93">
        <f t="shared" si="10"/>
        <v>32318</v>
      </c>
      <c r="G153" s="126"/>
    </row>
    <row r="154" spans="1:7" x14ac:dyDescent="0.25">
      <c r="A154" s="60">
        <v>168</v>
      </c>
      <c r="B154" s="80" t="s">
        <v>95</v>
      </c>
      <c r="C154" s="52">
        <v>1667.25</v>
      </c>
      <c r="D154" s="102">
        <v>23.188405797101449</v>
      </c>
      <c r="E154" s="63">
        <f t="shared" si="9"/>
        <v>38660.869565217392</v>
      </c>
      <c r="F154" s="93">
        <f t="shared" si="10"/>
        <v>141982.04347826086</v>
      </c>
      <c r="G154" s="126"/>
    </row>
    <row r="155" spans="1:7" x14ac:dyDescent="0.25">
      <c r="A155" s="64">
        <v>169</v>
      </c>
      <c r="B155" s="80" t="s">
        <v>95</v>
      </c>
      <c r="C155" s="52">
        <v>1667.25</v>
      </c>
      <c r="D155" s="102">
        <v>23.188405797101449</v>
      </c>
      <c r="E155" s="63">
        <f t="shared" si="9"/>
        <v>38660.869565217392</v>
      </c>
      <c r="F155" s="93">
        <f t="shared" si="10"/>
        <v>141982.04347826086</v>
      </c>
      <c r="G155" s="126"/>
    </row>
    <row r="156" spans="1:7" x14ac:dyDescent="0.25">
      <c r="A156" s="60">
        <v>170</v>
      </c>
      <c r="B156" s="80" t="s">
        <v>95</v>
      </c>
      <c r="C156" s="54">
        <v>1960</v>
      </c>
      <c r="D156" s="101">
        <v>9.27536231884058</v>
      </c>
      <c r="E156" s="63">
        <f t="shared" si="9"/>
        <v>18179.710144927536</v>
      </c>
      <c r="F156" s="93">
        <f t="shared" si="10"/>
        <v>66764.985507246369</v>
      </c>
      <c r="G156" s="126"/>
    </row>
    <row r="157" spans="1:7" x14ac:dyDescent="0.25">
      <c r="A157" s="60">
        <v>171</v>
      </c>
      <c r="B157" s="80" t="s">
        <v>95</v>
      </c>
      <c r="C157" s="52">
        <v>5.19</v>
      </c>
      <c r="D157" s="102">
        <v>1275</v>
      </c>
      <c r="E157" s="63">
        <f t="shared" si="9"/>
        <v>6617.2500000000009</v>
      </c>
      <c r="F157" s="93">
        <f t="shared" si="10"/>
        <v>24301.850625000003</v>
      </c>
      <c r="G157" s="126"/>
    </row>
    <row r="158" spans="1:7" x14ac:dyDescent="0.25">
      <c r="A158" s="64">
        <v>172</v>
      </c>
      <c r="B158" s="80" t="s">
        <v>95</v>
      </c>
      <c r="C158" s="52">
        <f>290/55</f>
        <v>5.2727272727272725</v>
      </c>
      <c r="D158" s="102">
        <v>2040.5797101449275</v>
      </c>
      <c r="E158" s="63">
        <f t="shared" si="9"/>
        <v>10759.420289855072</v>
      </c>
      <c r="F158" s="93">
        <f t="shared" si="10"/>
        <v>39513.971014492752</v>
      </c>
      <c r="G158" s="126"/>
    </row>
    <row r="159" spans="1:7" x14ac:dyDescent="0.25">
      <c r="A159" s="60">
        <v>173</v>
      </c>
      <c r="B159" s="80" t="s">
        <v>95</v>
      </c>
      <c r="C159" s="52">
        <v>11.4</v>
      </c>
      <c r="D159" s="102">
        <v>318.84057971014494</v>
      </c>
      <c r="E159" s="63">
        <f t="shared" si="9"/>
        <v>3634.7826086956525</v>
      </c>
      <c r="F159" s="93">
        <f t="shared" si="10"/>
        <v>13348.739130434784</v>
      </c>
      <c r="G159" s="126"/>
    </row>
    <row r="160" spans="1:7" x14ac:dyDescent="0.25">
      <c r="A160" s="60">
        <v>174</v>
      </c>
      <c r="B160" s="80" t="s">
        <v>95</v>
      </c>
      <c r="C160" s="52">
        <v>358.76</v>
      </c>
      <c r="D160" s="102">
        <v>139.13043478260869</v>
      </c>
      <c r="E160" s="63">
        <f t="shared" si="9"/>
        <v>49914.434782608689</v>
      </c>
      <c r="F160" s="93">
        <f t="shared" si="10"/>
        <v>183310.76173913039</v>
      </c>
      <c r="G160" s="126"/>
    </row>
    <row r="161" spans="1:8" x14ac:dyDescent="0.25">
      <c r="A161" s="64">
        <v>175</v>
      </c>
      <c r="B161" s="80" t="s">
        <v>95</v>
      </c>
      <c r="C161" s="84">
        <v>360</v>
      </c>
      <c r="D161" s="108">
        <v>46.95652173913043</v>
      </c>
      <c r="E161" s="63">
        <f t="shared" si="9"/>
        <v>16904.347826086956</v>
      </c>
      <c r="F161" s="93">
        <f t="shared" si="10"/>
        <v>62081.217391304344</v>
      </c>
      <c r="G161" s="126"/>
    </row>
    <row r="162" spans="1:8" x14ac:dyDescent="0.25">
      <c r="A162" s="60">
        <v>176</v>
      </c>
      <c r="B162" s="80" t="s">
        <v>95</v>
      </c>
      <c r="C162" s="54">
        <v>28.75</v>
      </c>
      <c r="D162" s="101">
        <v>400</v>
      </c>
      <c r="E162" s="63">
        <f t="shared" si="9"/>
        <v>11500</v>
      </c>
      <c r="F162" s="93">
        <f t="shared" si="10"/>
        <v>42233.75</v>
      </c>
      <c r="G162" s="126"/>
    </row>
    <row r="163" spans="1:8" x14ac:dyDescent="0.25">
      <c r="A163" s="60">
        <v>177</v>
      </c>
      <c r="B163" s="80" t="s">
        <v>95</v>
      </c>
      <c r="C163" s="52">
        <v>23.64</v>
      </c>
      <c r="D163" s="102">
        <v>1159.4202898550725</v>
      </c>
      <c r="E163" s="63">
        <f t="shared" si="9"/>
        <v>27408.695652173916</v>
      </c>
      <c r="F163" s="93">
        <f t="shared" si="10"/>
        <v>100658.4347826087</v>
      </c>
      <c r="G163" s="126"/>
    </row>
    <row r="164" spans="1:8" x14ac:dyDescent="0.25">
      <c r="A164" s="64">
        <v>178</v>
      </c>
      <c r="B164" s="80" t="s">
        <v>95</v>
      </c>
      <c r="C164" s="52">
        <v>1667.25</v>
      </c>
      <c r="D164" s="102">
        <v>11.594202898550725</v>
      </c>
      <c r="E164" s="63">
        <f t="shared" si="9"/>
        <v>19330.434782608696</v>
      </c>
      <c r="F164" s="93">
        <f t="shared" si="10"/>
        <v>70991.021739130432</v>
      </c>
      <c r="G164" s="126"/>
    </row>
    <row r="165" spans="1:8" x14ac:dyDescent="0.25">
      <c r="A165" s="60">
        <v>179</v>
      </c>
      <c r="B165" s="80" t="s">
        <v>95</v>
      </c>
      <c r="C165" s="52">
        <v>1667.25</v>
      </c>
      <c r="D165" s="102">
        <v>11.594202898550725</v>
      </c>
      <c r="E165" s="63">
        <f t="shared" si="9"/>
        <v>19330.434782608696</v>
      </c>
      <c r="F165" s="93">
        <f t="shared" si="10"/>
        <v>70991.021739130432</v>
      </c>
      <c r="G165" s="126"/>
    </row>
    <row r="166" spans="1:8" ht="15.75" thickBot="1" x14ac:dyDescent="0.3">
      <c r="A166" s="60">
        <v>180</v>
      </c>
      <c r="B166" s="80" t="s">
        <v>95</v>
      </c>
      <c r="C166" s="54">
        <v>446</v>
      </c>
      <c r="D166" s="101">
        <v>375</v>
      </c>
      <c r="E166" s="63">
        <f t="shared" si="9"/>
        <v>167250</v>
      </c>
      <c r="F166" s="93">
        <f t="shared" si="10"/>
        <v>614225.625</v>
      </c>
      <c r="G166" s="127"/>
      <c r="H166" s="86">
        <f>+SUM(F136:F166)</f>
        <v>4178426.716302536</v>
      </c>
    </row>
    <row r="167" spans="1:8" ht="34.5" customHeight="1" thickBot="1" x14ac:dyDescent="0.4">
      <c r="D167" s="128" t="s">
        <v>96</v>
      </c>
      <c r="E167" s="128"/>
      <c r="F167" s="128"/>
      <c r="G167" s="85">
        <f>SUM(G2:G166)</f>
        <v>18584811.080023807</v>
      </c>
    </row>
  </sheetData>
  <mergeCells count="7">
    <mergeCell ref="G136:G166"/>
    <mergeCell ref="D167:F167"/>
    <mergeCell ref="G2:G20"/>
    <mergeCell ref="G21:G42"/>
    <mergeCell ref="G43:G78"/>
    <mergeCell ref="G112:G135"/>
    <mergeCell ref="G79:G111"/>
  </mergeCells>
  <dataValidations count="1">
    <dataValidation type="decimal" operator="greaterThanOrEqual" allowBlank="1" showInputMessage="1" showErrorMessage="1" errorTitle="Range Validation Failed" error="You can only enter values greater than or equal to 0.00 in this cell." sqref="C49 C64 C163 C128 C133:C134 C99:C100 C58:C60 C41:C44 C157:C159" xr:uid="{C276E8C4-BC61-4E31-8324-41514935DB70}">
      <formula1>0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E027A-A166-402D-BFB3-BD3404205C9E}">
  <dimension ref="B3:J22"/>
  <sheetViews>
    <sheetView topLeftCell="A16" workbookViewId="0">
      <selection activeCell="C34" sqref="C34"/>
    </sheetView>
  </sheetViews>
  <sheetFormatPr defaultRowHeight="15" x14ac:dyDescent="0.25"/>
  <cols>
    <col min="2" max="2" width="38.7109375" bestFit="1" customWidth="1"/>
    <col min="3" max="3" width="13.140625" bestFit="1" customWidth="1"/>
    <col min="4" max="4" width="10.42578125" bestFit="1" customWidth="1"/>
    <col min="6" max="6" width="10.7109375" bestFit="1" customWidth="1"/>
    <col min="7" max="7" width="21.42578125" bestFit="1" customWidth="1"/>
    <col min="8" max="8" width="15.5703125" bestFit="1" customWidth="1"/>
    <col min="9" max="9" width="24.42578125" bestFit="1" customWidth="1"/>
  </cols>
  <sheetData>
    <row r="3" spans="2:10" x14ac:dyDescent="0.25">
      <c r="E3" s="8" t="s">
        <v>66</v>
      </c>
      <c r="F3" s="45" t="s">
        <v>69</v>
      </c>
      <c r="G3" s="8" t="s">
        <v>70</v>
      </c>
      <c r="H3" s="8" t="s">
        <v>71</v>
      </c>
      <c r="I3" s="8" t="s">
        <v>74</v>
      </c>
      <c r="J3" s="8" t="s">
        <v>63</v>
      </c>
    </row>
    <row r="4" spans="2:10" x14ac:dyDescent="0.25">
      <c r="B4" s="1" t="s">
        <v>81</v>
      </c>
      <c r="C4" s="1" t="s">
        <v>80</v>
      </c>
      <c r="D4" s="1" t="s">
        <v>68</v>
      </c>
      <c r="E4" s="44" t="s">
        <v>67</v>
      </c>
      <c r="F4" s="44" t="s">
        <v>67</v>
      </c>
      <c r="G4" s="44" t="s">
        <v>67</v>
      </c>
      <c r="H4" s="44" t="s">
        <v>72</v>
      </c>
      <c r="I4" s="44" t="s">
        <v>72</v>
      </c>
    </row>
    <row r="5" spans="2:10" x14ac:dyDescent="0.25">
      <c r="B5" s="1" t="s">
        <v>39</v>
      </c>
      <c r="C5" s="40">
        <v>50000</v>
      </c>
      <c r="D5" s="40">
        <v>50000</v>
      </c>
      <c r="E5" s="41">
        <f>+D5/365*21</f>
        <v>2876.7123287671234</v>
      </c>
      <c r="F5" s="1">
        <v>12500</v>
      </c>
      <c r="G5" s="1">
        <v>0</v>
      </c>
      <c r="H5" s="1"/>
      <c r="I5" s="1"/>
      <c r="J5">
        <v>0</v>
      </c>
    </row>
    <row r="6" spans="2:10" x14ac:dyDescent="0.25">
      <c r="B6" s="1" t="s">
        <v>40</v>
      </c>
      <c r="C6" s="40">
        <v>50000</v>
      </c>
      <c r="D6" s="40">
        <v>30000</v>
      </c>
      <c r="E6" s="41">
        <f t="shared" ref="E6:E21" si="0">+D6/365*21</f>
        <v>1726.0273972602738</v>
      </c>
      <c r="F6" s="1">
        <v>12500</v>
      </c>
      <c r="G6" s="1"/>
      <c r="H6" s="1"/>
      <c r="I6" s="1"/>
    </row>
    <row r="7" spans="2:10" x14ac:dyDescent="0.25">
      <c r="B7" s="1" t="s">
        <v>38</v>
      </c>
      <c r="C7" s="40">
        <v>50000</v>
      </c>
      <c r="D7" s="40">
        <v>30000</v>
      </c>
      <c r="E7" s="41">
        <f t="shared" si="0"/>
        <v>1726.0273972602738</v>
      </c>
      <c r="F7" s="1">
        <v>12500</v>
      </c>
      <c r="G7" s="1"/>
      <c r="H7" s="1"/>
      <c r="I7" s="1"/>
    </row>
    <row r="8" spans="2:10" x14ac:dyDescent="0.25">
      <c r="B8" s="1" t="s">
        <v>41</v>
      </c>
      <c r="C8" s="40">
        <v>16000</v>
      </c>
      <c r="D8" s="40">
        <v>9600</v>
      </c>
      <c r="E8" s="41">
        <f t="shared" si="0"/>
        <v>552.32876712328766</v>
      </c>
      <c r="F8" s="1">
        <v>3500</v>
      </c>
      <c r="G8" s="1"/>
      <c r="H8" s="1"/>
      <c r="I8" s="1"/>
    </row>
    <row r="9" spans="2:10" x14ac:dyDescent="0.25">
      <c r="B9" s="1" t="s">
        <v>42</v>
      </c>
      <c r="C9" s="40">
        <v>15000</v>
      </c>
      <c r="D9" s="40">
        <v>9000</v>
      </c>
      <c r="E9" s="41">
        <f t="shared" si="0"/>
        <v>517.80821917808214</v>
      </c>
      <c r="F9" s="1">
        <v>3500</v>
      </c>
      <c r="G9" s="1"/>
      <c r="H9" s="1"/>
      <c r="I9" s="1"/>
    </row>
    <row r="10" spans="2:10" x14ac:dyDescent="0.25">
      <c r="B10" s="1" t="s">
        <v>43</v>
      </c>
      <c r="C10" s="40">
        <v>11000</v>
      </c>
      <c r="D10" s="40">
        <v>6600</v>
      </c>
      <c r="E10" s="41">
        <f t="shared" si="0"/>
        <v>379.72602739726028</v>
      </c>
      <c r="F10" s="1">
        <v>3500</v>
      </c>
      <c r="G10" s="1"/>
      <c r="H10" s="1"/>
      <c r="I10" s="1"/>
    </row>
    <row r="11" spans="2:10" x14ac:dyDescent="0.25">
      <c r="B11" s="1" t="s">
        <v>44</v>
      </c>
      <c r="C11" s="40">
        <v>11000</v>
      </c>
      <c r="D11" s="40">
        <v>6600</v>
      </c>
      <c r="E11" s="41">
        <f t="shared" si="0"/>
        <v>379.72602739726028</v>
      </c>
      <c r="F11" s="1">
        <v>3500</v>
      </c>
      <c r="G11" s="1"/>
      <c r="H11" s="1"/>
      <c r="I11" s="1"/>
    </row>
    <row r="12" spans="2:10" x14ac:dyDescent="0.25">
      <c r="B12" s="1" t="s">
        <v>45</v>
      </c>
      <c r="C12" s="40">
        <v>9500</v>
      </c>
      <c r="D12" s="40">
        <v>5700</v>
      </c>
      <c r="E12" s="41">
        <f t="shared" si="0"/>
        <v>327.94520547945206</v>
      </c>
      <c r="F12" s="1">
        <v>3500</v>
      </c>
      <c r="G12" s="1"/>
      <c r="H12" s="1"/>
      <c r="I12" s="1"/>
    </row>
    <row r="13" spans="2:10" x14ac:dyDescent="0.25">
      <c r="B13" s="1" t="s">
        <v>53</v>
      </c>
      <c r="C13" s="40">
        <v>9500</v>
      </c>
      <c r="D13" s="40">
        <v>5700</v>
      </c>
      <c r="E13" s="41">
        <f t="shared" si="0"/>
        <v>327.94520547945206</v>
      </c>
      <c r="F13" s="1">
        <v>3500</v>
      </c>
      <c r="G13" s="1"/>
      <c r="H13" s="1"/>
      <c r="I13" s="1"/>
    </row>
    <row r="14" spans="2:10" x14ac:dyDescent="0.25">
      <c r="B14" s="1" t="s">
        <v>46</v>
      </c>
      <c r="C14" s="40">
        <v>9000</v>
      </c>
      <c r="D14" s="40">
        <v>5400</v>
      </c>
      <c r="E14" s="41">
        <f t="shared" si="0"/>
        <v>310.68493150684935</v>
      </c>
      <c r="F14" s="1">
        <v>3500</v>
      </c>
      <c r="G14" s="1"/>
      <c r="H14" s="1"/>
      <c r="I14" s="1"/>
    </row>
    <row r="15" spans="2:10" x14ac:dyDescent="0.25">
      <c r="B15" s="1" t="s">
        <v>47</v>
      </c>
      <c r="C15" s="40">
        <v>8000</v>
      </c>
      <c r="D15" s="40">
        <v>8000</v>
      </c>
      <c r="E15" s="41">
        <f t="shared" si="0"/>
        <v>460.27397260273972</v>
      </c>
      <c r="F15" s="1">
        <v>3500</v>
      </c>
      <c r="G15" s="1"/>
      <c r="H15" s="1"/>
      <c r="I15" s="1"/>
    </row>
    <row r="16" spans="2:10" x14ac:dyDescent="0.25">
      <c r="B16" s="1" t="s">
        <v>16</v>
      </c>
      <c r="C16" s="40">
        <v>8000</v>
      </c>
      <c r="D16" s="40">
        <v>4800</v>
      </c>
      <c r="E16" s="41">
        <f t="shared" si="0"/>
        <v>276.16438356164383</v>
      </c>
      <c r="F16" s="1">
        <v>3500</v>
      </c>
      <c r="G16" s="1"/>
      <c r="H16" s="1"/>
      <c r="I16" s="1"/>
    </row>
    <row r="17" spans="2:10" x14ac:dyDescent="0.25">
      <c r="B17" s="1" t="s">
        <v>52</v>
      </c>
      <c r="C17" s="40">
        <v>8000</v>
      </c>
      <c r="D17" s="40">
        <v>6000</v>
      </c>
      <c r="E17" s="41">
        <f t="shared" si="0"/>
        <v>345.20547945205482</v>
      </c>
      <c r="F17" s="1">
        <v>3500</v>
      </c>
      <c r="G17" s="1"/>
      <c r="H17" s="1"/>
      <c r="I17" s="1"/>
    </row>
    <row r="18" spans="2:10" x14ac:dyDescent="0.25">
      <c r="B18" s="1" t="s">
        <v>48</v>
      </c>
      <c r="C18" s="40">
        <v>5500</v>
      </c>
      <c r="D18" s="40">
        <v>3300</v>
      </c>
      <c r="E18" s="41">
        <f t="shared" si="0"/>
        <v>189.86301369863014</v>
      </c>
      <c r="F18" s="1">
        <v>3500</v>
      </c>
      <c r="G18" s="1"/>
      <c r="H18" s="1"/>
      <c r="I18" s="1"/>
    </row>
    <row r="19" spans="2:10" x14ac:dyDescent="0.25">
      <c r="B19" s="1" t="s">
        <v>49</v>
      </c>
      <c r="C19" s="40">
        <v>4000</v>
      </c>
      <c r="D19" s="40">
        <v>2400</v>
      </c>
      <c r="E19" s="41">
        <f t="shared" si="0"/>
        <v>138.08219178082192</v>
      </c>
      <c r="F19" s="1">
        <v>3500</v>
      </c>
      <c r="G19" s="1"/>
      <c r="H19" s="1"/>
      <c r="I19" s="1"/>
    </row>
    <row r="20" spans="2:10" x14ac:dyDescent="0.25">
      <c r="B20" s="1" t="s">
        <v>50</v>
      </c>
      <c r="C20" s="40">
        <v>2000</v>
      </c>
      <c r="D20" s="40">
        <v>1200</v>
      </c>
      <c r="E20" s="41">
        <f t="shared" si="0"/>
        <v>69.041095890410958</v>
      </c>
      <c r="F20" s="1">
        <v>3500</v>
      </c>
      <c r="G20" s="1"/>
      <c r="H20" s="1"/>
      <c r="I20" s="1"/>
    </row>
    <row r="21" spans="2:10" x14ac:dyDescent="0.25">
      <c r="B21" s="1" t="s">
        <v>51</v>
      </c>
      <c r="C21" s="40">
        <v>2000</v>
      </c>
      <c r="D21" s="40">
        <v>1500</v>
      </c>
      <c r="E21" s="41">
        <f t="shared" si="0"/>
        <v>86.301369863013704</v>
      </c>
      <c r="F21" s="1">
        <v>3500</v>
      </c>
      <c r="G21" s="1"/>
      <c r="H21" s="1"/>
      <c r="I21" s="1"/>
    </row>
    <row r="22" spans="2:10" x14ac:dyDescent="0.25">
      <c r="B22" s="1"/>
      <c r="C22" s="1"/>
      <c r="D22" s="1"/>
      <c r="E22" s="42">
        <f>SUM(E5:E21)+7</f>
        <v>10696.86301369863</v>
      </c>
      <c r="F22" s="42">
        <f>SUM(F5:F21)</f>
        <v>86500</v>
      </c>
      <c r="G22" s="43">
        <v>111461.48</v>
      </c>
      <c r="H22" s="43">
        <v>29411.123859489046</v>
      </c>
      <c r="I22" s="42">
        <v>80000</v>
      </c>
      <c r="J22" s="38">
        <f>+SUM(E22:I22)-7</f>
        <v>318062.46687318769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 for 6 months</vt:lpstr>
      <vt:lpstr>Budgeted purchases</vt:lpstr>
      <vt:lpstr>OTHER EMPLOYEE BENEFITS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Accer</dc:creator>
  <cp:lastModifiedBy>Ahmed Al Hamadani</cp:lastModifiedBy>
  <cp:lastPrinted>2022-06-30T12:34:46Z</cp:lastPrinted>
  <dcterms:created xsi:type="dcterms:W3CDTF">2015-06-05T18:17:20Z</dcterms:created>
  <dcterms:modified xsi:type="dcterms:W3CDTF">2024-06-22T11:34:57Z</dcterms:modified>
</cp:coreProperties>
</file>